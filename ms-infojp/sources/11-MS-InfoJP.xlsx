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14gc.sharepoint.com/sites/AICoE/Shared Documents/AI Enabled Projects/BDM AI PoCs migration/Jurisprudence/8. Closeout Deliverables/_00-JP to EVA/"/>
    </mc:Choice>
  </mc:AlternateContent>
  <xr:revisionPtr revIDLastSave="0" documentId="8_{DDC62607-A26F-4AD6-AC99-D87E5074EA97}" xr6:coauthVersionLast="47" xr6:coauthVersionMax="47" xr10:uidLastSave="{00000000-0000-0000-0000-000000000000}"/>
  <bookViews>
    <workbookView xWindow="30495" yWindow="-14175" windowWidth="22845" windowHeight="11550" xr2:uid="{00000000-000D-0000-FFFF-FFFF00000000}"/>
  </bookViews>
  <sheets>
    <sheet name="project plan" sheetId="6" r:id="rId1"/>
    <sheet name="Epic, Stories" sheetId="5" r:id="rId2"/>
    <sheet name="ADO Sprints" sheetId="4" r:id="rId3"/>
    <sheet name="Story points vs capacity" sheetId="3" r:id="rId4"/>
    <sheet name="WBS" sheetId="2" r:id="rId5"/>
    <sheet name="Sheet1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6" l="1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tc={05B9D787-7607-4308-BA73-2113A269BC77}</author>
  </authors>
  <commentList>
    <comment ref="D10" authorId="0" shapeId="0" xr:uid="{05B9D787-7607-4308-BA73-2113A269BC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CDC = Change Data Capture… A controlled mechanism to detect, retrieve, and process only new or changed jurisprudence documents since the last run — instead of re-ingesting everything. </t>
      </text>
    </comment>
  </commentList>
</comments>
</file>

<file path=xl/sharedStrings.xml><?xml version="1.0" encoding="utf-8"?>
<sst xmlns="http://schemas.openxmlformats.org/spreadsheetml/2006/main" count="812" uniqueCount="285">
  <si>
    <t>WBS ID</t>
  </si>
  <si>
    <t>Phase</t>
  </si>
  <si>
    <t>Task</t>
  </si>
  <si>
    <t>Task Description</t>
  </si>
  <si>
    <t>Story Summary</t>
  </si>
  <si>
    <t>Story Points</t>
  </si>
  <si>
    <t>Dependency (Predecessor)</t>
  </si>
  <si>
    <t>Sprint 1</t>
  </si>
  <si>
    <t>Sprint 2</t>
  </si>
  <si>
    <t>Sprint 3</t>
  </si>
  <si>
    <t>Sprint 4</t>
  </si>
  <si>
    <t>Sprint 5</t>
  </si>
  <si>
    <t>Sprint 6</t>
  </si>
  <si>
    <t>CPM</t>
  </si>
  <si>
    <t>Confirm scope and success criteria</t>
  </si>
  <si>
    <t>X</t>
  </si>
  <si>
    <t>YES</t>
  </si>
  <si>
    <t>Validate jurisprudence sources and access</t>
  </si>
  <si>
    <t>Assess data quality risks</t>
  </si>
  <si>
    <t>NO</t>
  </si>
  <si>
    <t>Confirm EVA DA constraints</t>
  </si>
  <si>
    <t>Confirm governance posture</t>
  </si>
  <si>
    <t>Design CDC strategy</t>
  </si>
  <si>
    <t>Design download strategy</t>
  </si>
  <si>
    <t>Define metadata schema</t>
  </si>
  <si>
    <t>Define storage contract</t>
  </si>
  <si>
    <t>Design EVA DA indexes</t>
  </si>
  <si>
    <t>Design prompts and UX rules</t>
  </si>
  <si>
    <t>Implement CDC job</t>
  </si>
  <si>
    <t>Implement document downloader</t>
  </si>
  <si>
    <t>Implement metadata generator</t>
  </si>
  <si>
    <t>Provision storage paths</t>
  </si>
  <si>
    <t>Create jurisprudence project</t>
  </si>
  <si>
    <t>Create EN/FR indexes</t>
  </si>
  <si>
    <t>Configure indexers</t>
  </si>
  <si>
    <t>Enable court filters</t>
  </si>
  <si>
    <t>Enforce citations</t>
  </si>
  <si>
    <t>Enable feedback capture</t>
  </si>
  <si>
    <t>Validate data coverage &amp; citations</t>
  </si>
  <si>
    <t>Functional testing</t>
  </si>
  <si>
    <t>Performance testing</t>
  </si>
  <si>
    <t>Tuning and fixes</t>
  </si>
  <si>
    <t>UAT deployment</t>
  </si>
  <si>
    <t>Produce runbook</t>
  </si>
  <si>
    <t>Soft launch monitoring</t>
  </si>
  <si>
    <t>Issue Type</t>
  </si>
  <si>
    <t>Epic Name</t>
  </si>
  <si>
    <t>Summary</t>
  </si>
  <si>
    <t>Description</t>
  </si>
  <si>
    <t>Sprint</t>
  </si>
  <si>
    <t>Epic</t>
  </si>
  <si>
    <t>EPIC-01 Discovery &amp; Alignment</t>
  </si>
  <si>
    <t>Discovery and Alignment</t>
  </si>
  <si>
    <t>Lock scope sources governance and EVA DA constraints for jurisprudence integration</t>
  </si>
  <si>
    <t>Story</t>
  </si>
  <si>
    <t>Confirm in-scope courts languages exclusions and definition of done</t>
  </si>
  <si>
    <t>Validate CanLII API usage court site access patterns and rate limits</t>
  </si>
  <si>
    <t>Identify unparsable PDFs missing bilingual pairs and document risks</t>
  </si>
  <si>
    <t>Confirm ingestion indexing filtering citation and UI constraints in EVA DA</t>
  </si>
  <si>
    <t>Confirm public data classification logging retention and no new SAA boundary</t>
  </si>
  <si>
    <t>EPIC-02 Design Extraction &amp; Metadata</t>
  </si>
  <si>
    <t>Design extraction and metadata</t>
  </si>
  <si>
    <t>Produce build-ready designs for CDC extraction metadata storage and prompts</t>
  </si>
  <si>
    <t>Define change detection logic timestamps identifiers and run frequency</t>
  </si>
  <si>
    <t>Define PDF HTML download retries backoff and exception handling</t>
  </si>
  <si>
    <t>Define case court language dates URLs and citation fields</t>
  </si>
  <si>
    <t>Define folder structure naming conventions and overwrite rules</t>
  </si>
  <si>
    <t>Define EN FR index strategy chunking and filters</t>
  </si>
  <si>
    <t>Define scope enforcement citation enforcement and feedback wording</t>
  </si>
  <si>
    <t>EPIC-03 Build Extraction Pipeline</t>
  </si>
  <si>
    <t>Build extraction pipeline</t>
  </si>
  <si>
    <t>Implement CDC downloader metadata generation and storage</t>
  </si>
  <si>
    <t>Build scheduled job to detect new and updated cases via CanLII</t>
  </si>
  <si>
    <t>Build resilient EN FR downloader with retries and logging</t>
  </si>
  <si>
    <t>Generate structured metadata enabling filters and citations</t>
  </si>
  <si>
    <t>Create ingestable storage structure for raw docs and metadata</t>
  </si>
  <si>
    <t>EPIC-04 EVA DA Configuration &amp; Integration</t>
  </si>
  <si>
    <t>Configure EVA DA</t>
  </si>
  <si>
    <t>Create indexes configure ingestion filters citations and feedback</t>
  </si>
  <si>
    <t>Create EVA DA project space for EI Jurisprudence</t>
  </si>
  <si>
    <t>Create EN FR indexes</t>
  </si>
  <si>
    <t>Create and validate jurisprudence EN and FR indexes</t>
  </si>
  <si>
    <t>Configure indexers chunking and embeddings</t>
  </si>
  <si>
    <t>Implement court and language filters using metadata</t>
  </si>
  <si>
    <t>Ensure citation metadata is passed and enforced in prompts</t>
  </si>
  <si>
    <t>Implement thumbs up down and comment logging</t>
  </si>
  <si>
    <t>EPIC-05 Test &amp; Stabilization</t>
  </si>
  <si>
    <t>Test and stabilize</t>
  </si>
  <si>
    <t>Validate data retrieval performance citations and user flows</t>
  </si>
  <si>
    <t>Validate data coverage</t>
  </si>
  <si>
    <t>Validate coverage per court language and citation accuracy</t>
  </si>
  <si>
    <t>Test in-scope out-of-scope queries and filters</t>
  </si>
  <si>
    <t>Validate indexing time query latency and error rates</t>
  </si>
  <si>
    <t>Adjust chunking prompts retries and thresholds</t>
  </si>
  <si>
    <t>EPIC-06 Deployment &amp; Soft Launch</t>
  </si>
  <si>
    <t>Deploy and launch</t>
  </si>
  <si>
    <t>UAT deployment documentation and monitoring</t>
  </si>
  <si>
    <t>Deploy jurisprudence content to EVA DA UAT</t>
  </si>
  <si>
    <t>Document extraction operations re-runs and exceptions</t>
  </si>
  <si>
    <t>Monitor usage review feedback and log issues</t>
  </si>
  <si>
    <t>Sprint Dates (Indicative)</t>
  </si>
  <si>
    <t>Task Name</t>
  </si>
  <si>
    <t>Primary Outcome</t>
  </si>
  <si>
    <t>Weeks 1-2</t>
  </si>
  <si>
    <t>Discovery</t>
  </si>
  <si>
    <t>Business and Scope Alignment</t>
  </si>
  <si>
    <t>Confirmed in-scope courts languages exclusions and success criteria</t>
  </si>
  <si>
    <t>Scope Validation</t>
  </si>
  <si>
    <t>Confirm feature differentiation between EVA DA and Jurisprudence</t>
  </si>
  <si>
    <t>Source and Data Discovery</t>
  </si>
  <si>
    <t>Validated CanLII API usage court access patterns and data risks</t>
  </si>
  <si>
    <t>EVA DA Constraints Review</t>
  </si>
  <si>
    <t>Confirmed EVA DA ingestion indexing filtering and UI constraints</t>
  </si>
  <si>
    <t>Weeks 3-4</t>
  </si>
  <si>
    <t>Governance and Security Alignment</t>
  </si>
  <si>
    <t>Confirmed public data posture logging and no new SAA boundary</t>
  </si>
  <si>
    <t>Design</t>
  </si>
  <si>
    <t>Extraction Design</t>
  </si>
  <si>
    <t>CDC download retry and exception handling design approved</t>
  </si>
  <si>
    <t>Metadata and Storage Design</t>
  </si>
  <si>
    <t>Metadata schema and storage contract finalized</t>
  </si>
  <si>
    <t>Weeks 5-6</t>
  </si>
  <si>
    <t>EVA DA Configuration Design</t>
  </si>
  <si>
    <t>Index definitions chunking strategy and filters designed</t>
  </si>
  <si>
    <t>Prompt and UX Design</t>
  </si>
  <si>
    <t>Scope citation and feedback prompts finalized</t>
  </si>
  <si>
    <t>Weeks 7-8</t>
  </si>
  <si>
    <t>Investigation</t>
  </si>
  <si>
    <t>CDC Job Implementation</t>
  </si>
  <si>
    <t>Working CDC job detecting new and updated cases</t>
  </si>
  <si>
    <t>Development</t>
  </si>
  <si>
    <t>Document Downloader</t>
  </si>
  <si>
    <t>Resilient EN FR document downloader implemented</t>
  </si>
  <si>
    <t>Metadata Generator</t>
  </si>
  <si>
    <t>Metadata generation producing citation-ready fields</t>
  </si>
  <si>
    <t>Weeks 9-10</t>
  </si>
  <si>
    <t>Storage Setup</t>
  </si>
  <si>
    <t>Ingestable storage structure ready for EVA DA</t>
  </si>
  <si>
    <t>EVA DA Index Creation</t>
  </si>
  <si>
    <t>EN and FR jurisprudence indexes created</t>
  </si>
  <si>
    <t>Indexer Configuration</t>
  </si>
  <si>
    <t>Indexers chunking and embeddings operational</t>
  </si>
  <si>
    <t>Filters Implementation</t>
  </si>
  <si>
    <t>Court and language filters functional</t>
  </si>
  <si>
    <t>Weeks 11-12</t>
  </si>
  <si>
    <t>Test</t>
  </si>
  <si>
    <t>Data Validation</t>
  </si>
  <si>
    <t>Validated coverage language correctness and citations</t>
  </si>
  <si>
    <t>Functional Testing</t>
  </si>
  <si>
    <t>Verified in-scope out-of-scope queries and filters</t>
  </si>
  <si>
    <t>Performance Testing</t>
  </si>
  <si>
    <t>Indexing latency and query performance validated</t>
  </si>
  <si>
    <t>Tuning and Fixes</t>
  </si>
  <si>
    <t>Chunking prompt and retry tuning completed</t>
  </si>
  <si>
    <t>Deployment</t>
  </si>
  <si>
    <t>UAT Deployment</t>
  </si>
  <si>
    <t>EVA DA UAT enabled with jurisprudence content</t>
  </si>
  <si>
    <t>Documentation and Runbook</t>
  </si>
  <si>
    <t>Extraction and ops runbook delivered</t>
  </si>
  <si>
    <t>Soft Launch Monitoring</t>
  </si>
  <si>
    <t>Usage monitored and initial feedback captured</t>
  </si>
  <si>
    <t>Sprint intent (plain English)</t>
  </si>
  <si>
    <t>Sprint 1 – Understand reality</t>
  </si>
  <si>
    <t>Lock scope, confirm sources, avoid rework later.</t>
  </si>
  <si>
    <t>Sprint 2 – Make it design-ready</t>
  </si>
  <si>
    <t>CDC, metadata, storage, governance all nailed down.</t>
  </si>
  <si>
    <t>Sprint 3 – Make EVA DA ready</t>
  </si>
  <si>
    <t>Index strategy, prompts, filters defined before coding.</t>
  </si>
  <si>
    <t>Sprint 4 – Build the extraction spine</t>
  </si>
  <si>
    <t>CDC + downloader + metadata = foundation.</t>
  </si>
  <si>
    <t>Sprint 5 – Connect to EVA DA</t>
  </si>
  <si>
    <t>Indexes, ingestion, filters, citations working end-to-end.</t>
  </si>
  <si>
    <t>Sprint 6 – Stabilize and launch</t>
  </si>
  <si>
    <t>Test, tune, deploy, monitor — no heroics.</t>
  </si>
  <si>
    <t>Predecessor(s)</t>
  </si>
  <si>
    <t>Produce solution architecture design document</t>
  </si>
  <si>
    <t>Canonical Project WBS Table (Authoritative)</t>
  </si>
  <si>
    <t>Week Range</t>
  </si>
  <si>
    <t>Primary Owner</t>
  </si>
  <si>
    <t>Deliverable</t>
  </si>
  <si>
    <t>Column1</t>
  </si>
  <si>
    <t>Weeks 1–2</t>
  </si>
  <si>
    <t>Scope Definition</t>
  </si>
  <si>
    <t>Confirm in-scope courts languages exclusions(outside of EI-Jurisprudence) and definition of done</t>
  </si>
  <si>
    <t>Product Owner</t>
  </si>
  <si>
    <t>Approved scope statement</t>
  </si>
  <si>
    <t>Compare Feature sets in EVA DA vs Jurisprudence</t>
  </si>
  <si>
    <t>Technical Lead</t>
  </si>
  <si>
    <t>Source Validation</t>
  </si>
  <si>
    <t>Validate CanLII API and court site access patterns limits and availability</t>
  </si>
  <si>
    <t>Source access validation report</t>
  </si>
  <si>
    <t>CanLII api only gives metadata and not the pdfs. 
Contact Can LII to see if there is an MOU with ESDC to obtain access to api</t>
  </si>
  <si>
    <t>Data Quality Assessment</t>
  </si>
  <si>
    <t>Identify unparsable PDFs missing bilingual pairs and inconsistencies</t>
  </si>
  <si>
    <t>Data Lead</t>
  </si>
  <si>
    <t>Data quality risk register</t>
  </si>
  <si>
    <t>Identify bilingual documents and parse to have an English and French document</t>
  </si>
  <si>
    <t>4254, 4255, 4526, 4257</t>
  </si>
  <si>
    <t>EVA DA Capability Assessment</t>
  </si>
  <si>
    <t>Confirm ingestion indexing filtering citation and UI constraints</t>
  </si>
  <si>
    <t>Platform Architect</t>
  </si>
  <si>
    <t>Platform fit assessment</t>
  </si>
  <si>
    <t>Target State</t>
  </si>
  <si>
    <t>Test plans and acceptance criteria for Feature sign off</t>
  </si>
  <si>
    <t>Data Ingestion - Storage</t>
  </si>
  <si>
    <t>Obtain the scrape of data used for the knowledge repository of Jurisprudence</t>
  </si>
  <si>
    <t>Weeks 3–4</t>
  </si>
  <si>
    <t>CDC Design</t>
  </si>
  <si>
    <t>Design change detection strategy timestamps identifiers and refresh cadence</t>
  </si>
  <si>
    <t>CDC design specification</t>
  </si>
  <si>
    <t>Download Strategy Design</t>
  </si>
  <si>
    <t>Design PDF HTML retrieval retries backoff and error handling</t>
  </si>
  <si>
    <t>Download strategy design</t>
  </si>
  <si>
    <t>Metadata Schema Design</t>
  </si>
  <si>
    <t>Define metadata required for filtering citations and traceability</t>
  </si>
  <si>
    <t>Data Architect</t>
  </si>
  <si>
    <t>Metadata schema definition</t>
  </si>
  <si>
    <t>Storage Contract Design</t>
  </si>
  <si>
    <t>Storage contract specification</t>
  </si>
  <si>
    <t>Design Semantic Search Feature</t>
  </si>
  <si>
    <t>Design and start coding for semantic search</t>
  </si>
  <si>
    <t>Engineering Lead</t>
  </si>
  <si>
    <t>Semantic Search design completed and reviewed</t>
  </si>
  <si>
    <t>Data Ingestion : Part 2</t>
  </si>
  <si>
    <t>Query and Summary design to replicate current ingestion patter</t>
  </si>
  <si>
    <t>Retrieval of summary and query data from initial scrape of Jurisprudence data</t>
  </si>
  <si>
    <t>Weeks 5–6</t>
  </si>
  <si>
    <t>EVA DA Index Design</t>
  </si>
  <si>
    <t>Define EN FR indexes chunking strategy filters and fields</t>
  </si>
  <si>
    <t>Index design document</t>
  </si>
  <si>
    <t>De-listed since there is currently a French and English indexing structure in place.</t>
  </si>
  <si>
    <t>UX / AI Lead</t>
  </si>
  <si>
    <t>Prompt and UX design spec</t>
  </si>
  <si>
    <t>Build</t>
  </si>
  <si>
    <t>Weeks 7–8</t>
  </si>
  <si>
    <t>Implement scheduled job detecting new and updated cases</t>
  </si>
  <si>
    <t>CDC job code and logs</t>
  </si>
  <si>
    <t>Document Downloader Implementation</t>
  </si>
  <si>
    <t>Implement resilient EN FR PDF HTML downloader</t>
  </si>
  <si>
    <t>Downloader service</t>
  </si>
  <si>
    <t>Metadata Generation Implementation</t>
  </si>
  <si>
    <t>Generate structured metadata for each document</t>
  </si>
  <si>
    <t>Metadata generation module</t>
  </si>
  <si>
    <t>Storage Provisioning</t>
  </si>
  <si>
    <t>Provision ingestable storage paths and access controls</t>
  </si>
  <si>
    <t>Platform Ops</t>
  </si>
  <si>
    <t>Provisioned storage structure</t>
  </si>
  <si>
    <t>Integration</t>
  </si>
  <si>
    <t>Weeks 9–10</t>
  </si>
  <si>
    <t>Project Space Creation</t>
  </si>
  <si>
    <t>EVA DA project space</t>
  </si>
  <si>
    <t>Index Creation</t>
  </si>
  <si>
    <t>Create and configure EN and FR jurisprudence indexes</t>
  </si>
  <si>
    <t>Configured search indexes</t>
  </si>
  <si>
    <t>Configure indexers chunking embeddings and schedules</t>
  </si>
  <si>
    <t>Operational indexers</t>
  </si>
  <si>
    <t>Filter Enablement</t>
  </si>
  <si>
    <t>Enable court and language filters using metadata</t>
  </si>
  <si>
    <t>Application Lead</t>
  </si>
  <si>
    <t>Working filters</t>
  </si>
  <si>
    <t>Citation Enforcement</t>
  </si>
  <si>
    <t>Ensure citation metadata is passed and enforced in responses</t>
  </si>
  <si>
    <t>AI Lead</t>
  </si>
  <si>
    <t>Citation-enabled responses</t>
  </si>
  <si>
    <t>Feedback Capture Enablement</t>
  </si>
  <si>
    <t>Enable thumbs up down and comment logging</t>
  </si>
  <si>
    <t>Feedback capture mechanism</t>
  </si>
  <si>
    <t>Weeks 11–12</t>
  </si>
  <si>
    <t>QA Lead</t>
  </si>
  <si>
    <t>Data validation report</t>
  </si>
  <si>
    <t>Test in-scope out-of-scope behavior filters and UX</t>
  </si>
  <si>
    <t>Functional test results</t>
  </si>
  <si>
    <t>Performance benchmark report</t>
  </si>
  <si>
    <t>Tuning and Remediation</t>
  </si>
  <si>
    <t>Adjust chunking prompts retries thresholds</t>
  </si>
  <si>
    <t>Tuned configuration</t>
  </si>
  <si>
    <t>Deploy jurisprudence capability to EVA DA UAT</t>
  </si>
  <si>
    <t>Release Manager</t>
  </si>
  <si>
    <t>UAT deployment completed</t>
  </si>
  <si>
    <t>Operational Runbook</t>
  </si>
  <si>
    <t>Document extraction re-runs exceptions and support model</t>
  </si>
  <si>
    <t>Operations Lead</t>
  </si>
  <si>
    <t>Approved runbook</t>
  </si>
  <si>
    <t>Monitor usage review feedback and capture backlog</t>
  </si>
  <si>
    <t>Post-launch monitoring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</si>
</sst>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sta, Marco M [NC]" id="{90BCF480-D1E4-4BB7-8367-BF5B983EC90B}" userId="S::marco.presta@hrsdc-rhdcc.gc.ca::fc1cf8cd-fce3-4ad5-bd16-58725f4e6a3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5FEDF3-101B-4358-9057-FE719DC29962}" name="Table6" displayName="Table6" ref="B4:O32" totalsRowShown="0" headerRowDxfId="50" dataDxfId="49">
  <autoFilter ref="B4:O32" xr:uid="{59FBFD12-0904-4218-96ED-FA19BA2A5691}"/>
  <tableColumns count="14">
    <tableColumn id="1" xr3:uid="{3115EACD-4284-47C4-9349-187EC043B3B4}" name="WBS ID" dataDxfId="48"/>
    <tableColumn id="13" xr3:uid="{7F32DC1D-1781-42BD-9017-D299C38E86D7}" name="Phase" dataDxfId="47">
      <calculatedColumnFormula>VLOOKUP(Table6[[#This Row],[WBS ID]],Table7[#All],2,FALSE)</calculatedColumnFormula>
    </tableColumn>
    <tableColumn id="14" xr3:uid="{394BC840-D848-48EF-99D2-1A057E8A668F}" name="Task" dataDxfId="46">
      <calculatedColumnFormula>VLOOKUP(Table6[[#This Row],[WBS ID]],Table7[#All],4,FALSE)</calculatedColumnFormula>
    </tableColumn>
    <tableColumn id="12" xr3:uid="{F4040A5E-38BC-4095-98A3-48437908D196}" name="Task Description" dataDxfId="45">
      <calculatedColumnFormula>VLOOKUP(Table6[[#This Row],[WBS ID]],Table7[#All],5,FALSE)</calculatedColumnFormula>
    </tableColumn>
    <tableColumn id="2" xr3:uid="{B5B1B581-9B8F-4187-9157-0CE22EFB453E}" name="Story Summary" dataDxfId="44"/>
    <tableColumn id="3" xr3:uid="{A0398946-A9A2-46F7-9912-80B1ADF5A4B4}" name="Story Points" dataDxfId="43"/>
    <tableColumn id="4" xr3:uid="{3742DDB8-81D0-4BC5-BDAF-F0465D26D2D1}" name="Dependency (Predecessor)" dataDxfId="42"/>
    <tableColumn id="5" xr3:uid="{65638FA2-BA0B-406C-9D7C-455435A8899D}" name="Sprint 1" dataDxfId="41"/>
    <tableColumn id="6" xr3:uid="{93B5796F-1715-4B0C-8EF9-FBCA58520333}" name="Sprint 2" dataDxfId="40"/>
    <tableColumn id="7" xr3:uid="{B3C80A9F-3579-4EBD-BBAE-2BAC72708CF2}" name="Sprint 3" dataDxfId="39"/>
    <tableColumn id="8" xr3:uid="{55264716-0424-4EC3-BFB9-BB1668E09631}" name="Sprint 4" dataDxfId="38"/>
    <tableColumn id="9" xr3:uid="{F649C71C-DEC1-48FB-BE4B-7441DE93A16E}" name="Sprint 5" dataDxfId="37"/>
    <tableColumn id="10" xr3:uid="{CB0DD921-F037-405C-9DB1-88F76D71D337}" name="Sprint 6" dataDxfId="36"/>
    <tableColumn id="11" xr3:uid="{9EE0B6FF-4564-4FF7-A03C-BF3002F247ED}" name="CPM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385913-654B-456C-A027-1A96DB8CAD78}" name="Table4" displayName="Table4" ref="B4:F43" totalsRowShown="0" headerRowDxfId="34" dataDxfId="33">
  <autoFilter ref="B4:F43" xr:uid="{9D268E55-F6B6-453B-8BEB-E3B25D8ABBF9}"/>
  <tableColumns count="5">
    <tableColumn id="1" xr3:uid="{9D9AEDDB-2184-4C16-9DF6-08E104E80A01}" name="Issue Type" dataDxfId="32"/>
    <tableColumn id="2" xr3:uid="{CE79DDCD-5639-4A61-B318-4BE97EA6A570}" name="Epic Name" dataDxfId="31"/>
    <tableColumn id="3" xr3:uid="{7B7F8573-7879-4AAF-95B2-A01CAF08B396}" name="Summary" dataDxfId="30"/>
    <tableColumn id="4" xr3:uid="{8618ABCF-8A41-403F-9AF1-0FE74FD3826C}" name="Description" dataDxfId="29"/>
    <tableColumn id="5" xr3:uid="{9F347AD4-3231-4F33-B00A-22507AFD27DD}" name="Sprint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419A54-AD63-4905-B91D-F644A03A5D6C}" name="Table2" displayName="Table2" ref="B4:G27" totalsRowShown="0" headerRowDxfId="27" dataDxfId="26">
  <autoFilter ref="B4:G27" xr:uid="{295DB94C-4C36-4E5F-887D-C57ABD6FD7A4}"/>
  <tableColumns count="6">
    <tableColumn id="1" xr3:uid="{1F9AB4C2-70C3-4EAF-8216-3D325892FC04}" name="Sprint" dataDxfId="25"/>
    <tableColumn id="2" xr3:uid="{394A9323-AA6D-4F85-8EDF-0EA1133D69B1}" name="Sprint Dates (Indicative)" dataDxfId="24"/>
    <tableColumn id="3" xr3:uid="{AB02BA50-110C-4AE1-A7E5-14A0B7217C40}" name="Phase" dataDxfId="23"/>
    <tableColumn id="4" xr3:uid="{242830DF-ED30-4B75-9572-2BFAB18E2F2A}" name="WBS ID" dataDxfId="22"/>
    <tableColumn id="5" xr3:uid="{0F6129A0-5865-40D3-B6D8-1AF36D90F690}" name="Task Name" dataDxfId="21"/>
    <tableColumn id="6" xr3:uid="{A527E92F-6892-4EB4-A675-EF1140E6C21B}" name="Primary Outcome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7F4F69-E025-4FE1-9B8F-2210A9865E71}" name="Table5" displayName="Table5" ref="B3:H42" totalsRowShown="0" headerRowDxfId="19" dataDxfId="18">
  <autoFilter ref="B3:H42" xr:uid="{820B8F91-26B8-404A-8E10-F7A6D252F2E5}"/>
  <tableColumns count="7">
    <tableColumn id="1" xr3:uid="{8871F2E3-309A-4FBC-9F4F-E40377FDD27A}" name="Issue Type" dataDxfId="17"/>
    <tableColumn id="2" xr3:uid="{A6096E3B-ED7A-484E-89B1-759660A5FFEA}" name="Epic Name" dataDxfId="16"/>
    <tableColumn id="3" xr3:uid="{A476177B-EED8-42B5-9105-9F6E9A903654}" name="Summary" dataDxfId="15"/>
    <tableColumn id="4" xr3:uid="{714C03A8-ACBF-46B3-A121-B8EE92C8A1B1}" name="Description" dataDxfId="14"/>
    <tableColumn id="5" xr3:uid="{55C36771-0373-4079-B058-649CC807EF17}" name="Sprint" dataDxfId="13"/>
    <tableColumn id="6" xr3:uid="{6B464C8B-939A-4338-8188-C104367D46FB}" name="Story Points" dataDxfId="12"/>
    <tableColumn id="7" xr3:uid="{F0086A7D-E715-4AE3-9F23-7E2E1BA2B4D7}" name="Predecessor(s)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C1C45-CA54-47CA-914A-C8E6443ACDBC}" name="Table7" displayName="Table7" ref="B8:I40" totalsRowShown="0" headerRowDxfId="10" dataDxfId="9" tableBorderDxfId="8">
  <autoFilter ref="B8:I40" xr:uid="{72AB2002-9FEC-45D9-BFB6-1DEE1DA4AB58}"/>
  <tableColumns count="8">
    <tableColumn id="1" xr3:uid="{E12E9BEF-64AD-4BB6-99F0-98AEA331762F}" name="WBS ID" dataDxfId="7"/>
    <tableColumn id="2" xr3:uid="{C242773A-A3B8-4931-95BC-2F583C15EBD3}" name="Phase" dataDxfId="6"/>
    <tableColumn id="3" xr3:uid="{C3FD7F02-44C9-4B7E-835C-B178966886DF}" name="Week Range" dataDxfId="5"/>
    <tableColumn id="4" xr3:uid="{AC3E3485-8A9A-454B-877A-B2B44B43E3E4}" name="Task Name" dataDxfId="4"/>
    <tableColumn id="5" xr3:uid="{75165F07-C361-4016-9414-468B8E0B49AE}" name="Description" dataDxfId="3"/>
    <tableColumn id="6" xr3:uid="{B79A8786-FF62-46C5-ADCC-DD1D13C6F246}" name="Primary Owner" dataDxfId="2"/>
    <tableColumn id="7" xr3:uid="{413F45C3-A555-4C30-AD2A-64F0D942B717}" name="Deliverable" dataDxfId="1"/>
    <tableColumn id="8" xr3:uid="{55831E34-CB07-4481-A1F3-2E26EBCCC31E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5-12-29T21:08:43.97" personId="{90BCF480-D1E4-4BB7-8367-BF5B983EC90B}" id="{05B9D787-7607-4308-BA73-2113A269BC77}">
    <text xml:space="preserve">CDC = Change Data Capture… A controlled mechanism to detect, retrieve, and process only new or changed jurisprudence documents since the last run — instead of re-ingesting everything.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6EEF-B076-4B3E-90D9-257BE99D5582}">
  <dimension ref="B4:O32"/>
  <sheetViews>
    <sheetView tabSelected="1" workbookViewId="0">
      <pane xSplit="6" ySplit="4" topLeftCell="G5" activePane="bottomRight" state="frozen"/>
      <selection pane="bottomRight" activeCell="G5" sqref="G5"/>
      <selection pane="bottomLeft" activeCell="F18" sqref="F18"/>
      <selection pane="topRight" activeCell="F18" sqref="F18"/>
    </sheetView>
  </sheetViews>
  <sheetFormatPr defaultColWidth="25.7109375" defaultRowHeight="14.45"/>
  <cols>
    <col min="1" max="1" width="6.7109375" style="1" customWidth="1"/>
    <col min="2" max="2" width="10.28515625" style="3" customWidth="1"/>
    <col min="3" max="3" width="14" style="1" customWidth="1"/>
    <col min="4" max="4" width="25.7109375" style="1"/>
    <col min="5" max="5" width="44.5703125" style="3" customWidth="1"/>
    <col min="6" max="6" width="37.140625" style="3" customWidth="1"/>
    <col min="7" max="7" width="10.42578125" style="1" customWidth="1"/>
    <col min="8" max="8" width="15.5703125" style="1" customWidth="1"/>
    <col min="9" max="12" width="25.7109375" style="1"/>
    <col min="13" max="13" width="25.7109375" style="3"/>
    <col min="14" max="14" width="25.7109375" style="1"/>
    <col min="15" max="15" width="9.42578125" style="1" bestFit="1" customWidth="1"/>
    <col min="16" max="16384" width="25.7109375" style="1"/>
  </cols>
  <sheetData>
    <row r="4" spans="2:15" ht="28.9">
      <c r="B4" s="20" t="s">
        <v>0</v>
      </c>
      <c r="C4" s="20" t="s">
        <v>1</v>
      </c>
      <c r="D4" s="20" t="s">
        <v>2</v>
      </c>
      <c r="E4" s="20" t="s">
        <v>3</v>
      </c>
      <c r="F4" s="20" t="s">
        <v>4</v>
      </c>
      <c r="G4" s="21" t="s">
        <v>5</v>
      </c>
      <c r="H4" s="21" t="s">
        <v>6</v>
      </c>
      <c r="I4" s="20" t="s">
        <v>7</v>
      </c>
      <c r="J4" s="20" t="s">
        <v>8</v>
      </c>
      <c r="K4" s="20" t="s">
        <v>9</v>
      </c>
      <c r="L4" s="20" t="s">
        <v>10</v>
      </c>
      <c r="M4" s="20" t="s">
        <v>11</v>
      </c>
      <c r="N4" s="20" t="s">
        <v>12</v>
      </c>
      <c r="O4" s="20" t="s">
        <v>13</v>
      </c>
    </row>
    <row r="5" spans="2:15" ht="43.15">
      <c r="B5" s="3">
        <v>1.1000000000000001</v>
      </c>
      <c r="C5" s="18" t="str">
        <f>VLOOKUP(Table6[[#This Row],[WBS ID]],Table7[#All],2,FALSE)</f>
        <v>Discovery</v>
      </c>
      <c r="D5" s="11" t="str">
        <f>VLOOKUP(Table6[[#This Row],[WBS ID]],Table7[#All],4,FALSE)</f>
        <v>Scope Definition</v>
      </c>
      <c r="E5" s="22" t="str">
        <f>VLOOKUP(Table6[[#This Row],[WBS ID]],Table7[#All],5,FALSE)</f>
        <v>Confirm in-scope courts languages exclusions(outside of EI-Jurisprudence) and definition of done</v>
      </c>
      <c r="F5" s="22" t="s">
        <v>14</v>
      </c>
      <c r="G5" s="3">
        <v>5</v>
      </c>
      <c r="H5" s="3"/>
      <c r="I5" s="23" t="s">
        <v>15</v>
      </c>
      <c r="J5" s="3"/>
      <c r="K5" s="3"/>
      <c r="L5" s="3"/>
      <c r="N5" s="3"/>
      <c r="O5" s="3" t="s">
        <v>16</v>
      </c>
    </row>
    <row r="6" spans="2:15">
      <c r="B6" s="3">
        <v>1.2</v>
      </c>
      <c r="C6" s="18" t="str">
        <f>VLOOKUP(Table6[[#This Row],[WBS ID]],Table7[#All],2,FALSE)</f>
        <v>Discovery</v>
      </c>
      <c r="D6" s="11" t="str">
        <f>VLOOKUP(Table6[[#This Row],[WBS ID]],Table7[#All],4,FALSE)</f>
        <v>Scope Validation</v>
      </c>
      <c r="E6" s="22" t="str">
        <f>VLOOKUP(Table6[[#This Row],[WBS ID]],Table7[#All],5,FALSE)</f>
        <v>Compare Feature sets in EVA DA vs Jurisprudence</v>
      </c>
      <c r="F6" s="22" t="s">
        <v>17</v>
      </c>
      <c r="G6" s="3">
        <v>8</v>
      </c>
      <c r="H6" s="3">
        <v>1.1000000000000001</v>
      </c>
      <c r="I6" s="23" t="s">
        <v>15</v>
      </c>
      <c r="J6" s="3"/>
      <c r="K6" s="3"/>
      <c r="L6" s="3"/>
      <c r="N6" s="3"/>
      <c r="O6" s="3" t="s">
        <v>16</v>
      </c>
    </row>
    <row r="7" spans="2:15" ht="28.9">
      <c r="B7" s="3">
        <v>1.3</v>
      </c>
      <c r="C7" s="18" t="str">
        <f>VLOOKUP(Table6[[#This Row],[WBS ID]],Table7[#All],2,FALSE)</f>
        <v>Discovery</v>
      </c>
      <c r="D7" s="11" t="str">
        <f>VLOOKUP(Table6[[#This Row],[WBS ID]],Table7[#All],4,FALSE)</f>
        <v>Source Validation</v>
      </c>
      <c r="E7" s="22" t="str">
        <f>VLOOKUP(Table6[[#This Row],[WBS ID]],Table7[#All],5,FALSE)</f>
        <v>Validate CanLII API and court site access patterns limits and availability</v>
      </c>
      <c r="F7" s="22" t="s">
        <v>18</v>
      </c>
      <c r="G7" s="3">
        <v>5</v>
      </c>
      <c r="H7" s="3">
        <v>1.2</v>
      </c>
      <c r="I7" s="3" t="s">
        <v>15</v>
      </c>
      <c r="J7" s="3"/>
      <c r="K7" s="3"/>
      <c r="L7" s="3"/>
      <c r="N7" s="3"/>
      <c r="O7" s="3" t="s">
        <v>19</v>
      </c>
    </row>
    <row r="8" spans="2:15" ht="28.9">
      <c r="B8" s="3">
        <v>1.4</v>
      </c>
      <c r="C8" s="18" t="str">
        <f>VLOOKUP(Table6[[#This Row],[WBS ID]],Table7[#All],2,FALSE)</f>
        <v>Discovery</v>
      </c>
      <c r="D8" s="11" t="str">
        <f>VLOOKUP(Table6[[#This Row],[WBS ID]],Table7[#All],4,FALSE)</f>
        <v>Data Quality Assessment</v>
      </c>
      <c r="E8" s="22" t="str">
        <f>VLOOKUP(Table6[[#This Row],[WBS ID]],Table7[#All],5,FALSE)</f>
        <v>Identify unparsable PDFs missing bilingual pairs and inconsistencies</v>
      </c>
      <c r="F8" s="22" t="s">
        <v>20</v>
      </c>
      <c r="G8" s="3">
        <v>8</v>
      </c>
      <c r="H8" s="3">
        <v>1.1000000000000001</v>
      </c>
      <c r="I8" s="3" t="s">
        <v>15</v>
      </c>
      <c r="J8" s="3"/>
      <c r="K8" s="3"/>
      <c r="L8" s="3"/>
      <c r="N8" s="3"/>
      <c r="O8" s="3" t="s">
        <v>19</v>
      </c>
    </row>
    <row r="9" spans="2:15" ht="28.9">
      <c r="B9" s="3">
        <v>1.5</v>
      </c>
      <c r="C9" s="18" t="str">
        <f>VLOOKUP(Table6[[#This Row],[WBS ID]],Table7[#All],2,FALSE)</f>
        <v>Discovery</v>
      </c>
      <c r="D9" s="11" t="str">
        <f>VLOOKUP(Table6[[#This Row],[WBS ID]],Table7[#All],4,FALSE)</f>
        <v>EVA DA Capability Assessment</v>
      </c>
      <c r="E9" s="22" t="str">
        <f>VLOOKUP(Table6[[#This Row],[WBS ID]],Table7[#All],5,FALSE)</f>
        <v>Confirm ingestion indexing filtering citation and UI constraints</v>
      </c>
      <c r="F9" s="22" t="s">
        <v>21</v>
      </c>
      <c r="G9" s="3">
        <v>5</v>
      </c>
      <c r="H9" s="3">
        <v>1.1000000000000001</v>
      </c>
      <c r="I9" s="3"/>
      <c r="J9" s="23" t="s">
        <v>15</v>
      </c>
      <c r="K9" s="3"/>
      <c r="L9" s="3"/>
      <c r="N9" s="3"/>
      <c r="O9" s="3" t="s">
        <v>16</v>
      </c>
    </row>
    <row r="10" spans="2:15" ht="28.9">
      <c r="B10" s="3">
        <v>2.1</v>
      </c>
      <c r="C10" s="18" t="str">
        <f>VLOOKUP(Table6[[#This Row],[WBS ID]],Table7[#All],2,FALSE)</f>
        <v>Design</v>
      </c>
      <c r="D10" s="11" t="str">
        <f>VLOOKUP(Table6[[#This Row],[WBS ID]],Table7[#All],4,FALSE)</f>
        <v>CDC Design</v>
      </c>
      <c r="E10" s="22" t="str">
        <f>VLOOKUP(Table6[[#This Row],[WBS ID]],Table7[#All],5,FALSE)</f>
        <v>Design change detection strategy timestamps identifiers and refresh cadence</v>
      </c>
      <c r="F10" s="22" t="s">
        <v>22</v>
      </c>
      <c r="G10" s="3">
        <v>8</v>
      </c>
      <c r="H10" s="3">
        <v>1.5</v>
      </c>
      <c r="I10" s="3"/>
      <c r="J10" s="23" t="s">
        <v>15</v>
      </c>
      <c r="K10" s="3"/>
      <c r="L10" s="3"/>
      <c r="N10" s="3"/>
      <c r="O10" s="3" t="s">
        <v>16</v>
      </c>
    </row>
    <row r="11" spans="2:15" ht="28.9">
      <c r="B11" s="3">
        <v>2.2000000000000002</v>
      </c>
      <c r="C11" s="18" t="str">
        <f>VLOOKUP(Table6[[#This Row],[WBS ID]],Table7[#All],2,FALSE)</f>
        <v>Design</v>
      </c>
      <c r="D11" s="11" t="str">
        <f>VLOOKUP(Table6[[#This Row],[WBS ID]],Table7[#All],4,FALSE)</f>
        <v>Download Strategy Design</v>
      </c>
      <c r="E11" s="22" t="str">
        <f>VLOOKUP(Table6[[#This Row],[WBS ID]],Table7[#All],5,FALSE)</f>
        <v>Design PDF HTML retrieval retries backoff and error handling</v>
      </c>
      <c r="F11" s="22" t="s">
        <v>23</v>
      </c>
      <c r="G11" s="3">
        <v>5</v>
      </c>
      <c r="H11" s="3">
        <v>2.1</v>
      </c>
      <c r="I11" s="3"/>
      <c r="J11" s="23" t="s">
        <v>15</v>
      </c>
      <c r="K11" s="3"/>
      <c r="L11" s="3"/>
      <c r="N11" s="3"/>
      <c r="O11" s="3" t="s">
        <v>16</v>
      </c>
    </row>
    <row r="12" spans="2:15" ht="28.9">
      <c r="B12" s="3">
        <v>2.2999999999999998</v>
      </c>
      <c r="C12" s="18" t="str">
        <f>VLOOKUP(Table6[[#This Row],[WBS ID]],Table7[#All],2,FALSE)</f>
        <v>Design</v>
      </c>
      <c r="D12" s="11" t="str">
        <f>VLOOKUP(Table6[[#This Row],[WBS ID]],Table7[#All],4,FALSE)</f>
        <v>Metadata Schema Design</v>
      </c>
      <c r="E12" s="22" t="str">
        <f>VLOOKUP(Table6[[#This Row],[WBS ID]],Table7[#All],5,FALSE)</f>
        <v>Define metadata required for filtering citations and traceability</v>
      </c>
      <c r="F12" s="22" t="s">
        <v>24</v>
      </c>
      <c r="G12" s="3">
        <v>8</v>
      </c>
      <c r="H12" s="3">
        <v>1.3</v>
      </c>
      <c r="I12" s="3"/>
      <c r="J12" s="23" t="s">
        <v>15</v>
      </c>
      <c r="K12" s="3"/>
      <c r="L12" s="3"/>
      <c r="N12" s="3"/>
      <c r="O12" s="3" t="s">
        <v>16</v>
      </c>
    </row>
    <row r="13" spans="2:15" ht="28.9">
      <c r="B13" s="3">
        <v>2.4</v>
      </c>
      <c r="C13" s="18" t="str">
        <f>VLOOKUP(Table6[[#This Row],[WBS ID]],Table7[#All],2,FALSE)</f>
        <v>Design</v>
      </c>
      <c r="D13" s="11" t="str">
        <f>VLOOKUP(Table6[[#This Row],[WBS ID]],Table7[#All],4,FALSE)</f>
        <v>Storage Contract Design</v>
      </c>
      <c r="E13" s="22" t="str">
        <f>VLOOKUP(Table6[[#This Row],[WBS ID]],Table7[#All],5,FALSE)</f>
        <v>Define folder structure naming conventions and overwrite rules</v>
      </c>
      <c r="F13" s="22" t="s">
        <v>25</v>
      </c>
      <c r="G13" s="3">
        <v>5</v>
      </c>
      <c r="H13" s="3">
        <v>2.2999999999999998</v>
      </c>
      <c r="I13" s="3"/>
      <c r="J13" s="23" t="s">
        <v>15</v>
      </c>
      <c r="K13" s="3"/>
      <c r="L13" s="3"/>
      <c r="N13" s="3"/>
      <c r="O13" s="3" t="s">
        <v>16</v>
      </c>
    </row>
    <row r="14" spans="2:15" ht="28.9">
      <c r="B14" s="3">
        <v>2.5</v>
      </c>
      <c r="C14" s="18" t="str">
        <f>VLOOKUP(Table6[[#This Row],[WBS ID]],Table7[#All],2,FALSE)</f>
        <v>Design</v>
      </c>
      <c r="D14" s="11" t="str">
        <f>VLOOKUP(Table6[[#This Row],[WBS ID]],Table7[#All],4,FALSE)</f>
        <v>Design Semantic Search Feature</v>
      </c>
      <c r="E14" s="22" t="str">
        <f>VLOOKUP(Table6[[#This Row],[WBS ID]],Table7[#All],5,FALSE)</f>
        <v>Design and start coding for semantic search</v>
      </c>
      <c r="F14" s="22" t="s">
        <v>26</v>
      </c>
      <c r="G14" s="3">
        <v>8</v>
      </c>
      <c r="H14" s="3">
        <v>1.4</v>
      </c>
      <c r="I14" s="3"/>
      <c r="J14" s="3"/>
      <c r="K14" s="3" t="s">
        <v>15</v>
      </c>
      <c r="L14" s="3"/>
      <c r="N14" s="3"/>
      <c r="O14" s="3" t="s">
        <v>19</v>
      </c>
    </row>
    <row r="15" spans="2:15" ht="28.9">
      <c r="B15" s="3">
        <v>2.6</v>
      </c>
      <c r="C15" s="18" t="str">
        <f>VLOOKUP(Table6[[#This Row],[WBS ID]],Table7[#All],2,FALSE)</f>
        <v>Design</v>
      </c>
      <c r="D15" s="11" t="str">
        <f>VLOOKUP(Table6[[#This Row],[WBS ID]],Table7[#All],4,FALSE)</f>
        <v>Data Ingestion : Part 2</v>
      </c>
      <c r="E15" s="22" t="str">
        <f>VLOOKUP(Table6[[#This Row],[WBS ID]],Table7[#All],5,FALSE)</f>
        <v>Query and Summary design to replicate current ingestion patter</v>
      </c>
      <c r="F15" s="22" t="s">
        <v>27</v>
      </c>
      <c r="G15" s="3">
        <v>5</v>
      </c>
      <c r="H15" s="3">
        <v>2.5</v>
      </c>
      <c r="I15" s="3"/>
      <c r="J15" s="3"/>
      <c r="K15" s="3" t="s">
        <v>15</v>
      </c>
      <c r="L15" s="3"/>
      <c r="N15" s="3"/>
      <c r="O15" s="3" t="s">
        <v>19</v>
      </c>
    </row>
    <row r="16" spans="2:15" ht="28.9">
      <c r="B16" s="3">
        <v>3.1</v>
      </c>
      <c r="C16" s="18" t="str">
        <f>VLOOKUP(Table6[[#This Row],[WBS ID]],Table7[#All],2,FALSE)</f>
        <v>Build</v>
      </c>
      <c r="D16" s="11" t="str">
        <f>VLOOKUP(Table6[[#This Row],[WBS ID]],Table7[#All],4,FALSE)</f>
        <v>CDC Job Implementation</v>
      </c>
      <c r="E16" s="22" t="str">
        <f>VLOOKUP(Table6[[#This Row],[WBS ID]],Table7[#All],5,FALSE)</f>
        <v>Implement scheduled job detecting new and updated cases</v>
      </c>
      <c r="F16" s="22" t="s">
        <v>28</v>
      </c>
      <c r="G16" s="3">
        <v>8</v>
      </c>
      <c r="H16" s="3">
        <v>2.1</v>
      </c>
      <c r="I16" s="3"/>
      <c r="J16" s="3"/>
      <c r="K16" s="3"/>
      <c r="L16" s="23" t="s">
        <v>15</v>
      </c>
      <c r="N16" s="3"/>
      <c r="O16" s="3" t="s">
        <v>16</v>
      </c>
    </row>
    <row r="17" spans="2:15" ht="28.9">
      <c r="B17" s="3">
        <v>3.2</v>
      </c>
      <c r="C17" s="18" t="str">
        <f>VLOOKUP(Table6[[#This Row],[WBS ID]],Table7[#All],2,FALSE)</f>
        <v>Build</v>
      </c>
      <c r="D17" s="11" t="str">
        <f>VLOOKUP(Table6[[#This Row],[WBS ID]],Table7[#All],4,FALSE)</f>
        <v>Document Downloader Implementation</v>
      </c>
      <c r="E17" s="22" t="str">
        <f>VLOOKUP(Table6[[#This Row],[WBS ID]],Table7[#All],5,FALSE)</f>
        <v>Implement resilient EN FR PDF HTML downloader</v>
      </c>
      <c r="F17" s="22" t="s">
        <v>29</v>
      </c>
      <c r="G17" s="3">
        <v>8</v>
      </c>
      <c r="H17" s="3">
        <v>2.2000000000000002</v>
      </c>
      <c r="I17" s="3"/>
      <c r="J17" s="3"/>
      <c r="K17" s="3"/>
      <c r="L17" s="23" t="s">
        <v>15</v>
      </c>
      <c r="N17" s="3"/>
      <c r="O17" s="3" t="s">
        <v>16</v>
      </c>
    </row>
    <row r="18" spans="2:15" ht="39.75" customHeight="1">
      <c r="B18" s="3">
        <v>3.3</v>
      </c>
      <c r="C18" s="18" t="str">
        <f>VLOOKUP(Table6[[#This Row],[WBS ID]],Table7[#All],2,FALSE)</f>
        <v>Build</v>
      </c>
      <c r="D18" s="11" t="str">
        <f>VLOOKUP(Table6[[#This Row],[WBS ID]],Table7[#All],4,FALSE)</f>
        <v>Metadata Generation Implementation</v>
      </c>
      <c r="E18" s="22" t="str">
        <f>VLOOKUP(Table6[[#This Row],[WBS ID]],Table7[#All],5,FALSE)</f>
        <v>Generate structured metadata for each document</v>
      </c>
      <c r="F18" s="22" t="s">
        <v>30</v>
      </c>
      <c r="G18" s="3">
        <v>8</v>
      </c>
      <c r="H18" s="3">
        <v>2.2999999999999998</v>
      </c>
      <c r="I18" s="3"/>
      <c r="J18" s="3"/>
      <c r="K18" s="3"/>
      <c r="L18" s="23" t="s">
        <v>15</v>
      </c>
      <c r="N18" s="3"/>
      <c r="O18" s="3" t="s">
        <v>16</v>
      </c>
    </row>
    <row r="19" spans="2:15" ht="28.9">
      <c r="B19" s="3">
        <v>3.4</v>
      </c>
      <c r="C19" s="18" t="str">
        <f>VLOOKUP(Table6[[#This Row],[WBS ID]],Table7[#All],2,FALSE)</f>
        <v>Build</v>
      </c>
      <c r="D19" s="11" t="str">
        <f>VLOOKUP(Table6[[#This Row],[WBS ID]],Table7[#All],4,FALSE)</f>
        <v>Storage Provisioning</v>
      </c>
      <c r="E19" s="22" t="str">
        <f>VLOOKUP(Table6[[#This Row],[WBS ID]],Table7[#All],5,FALSE)</f>
        <v>Provision ingestable storage paths and access controls</v>
      </c>
      <c r="F19" s="22" t="s">
        <v>31</v>
      </c>
      <c r="G19" s="3">
        <v>6</v>
      </c>
      <c r="H19" s="3">
        <v>2.4</v>
      </c>
      <c r="I19" s="3"/>
      <c r="J19" s="3"/>
      <c r="K19" s="3"/>
      <c r="L19" s="23" t="s">
        <v>15</v>
      </c>
      <c r="N19" s="3"/>
      <c r="O19" s="3" t="s">
        <v>16</v>
      </c>
    </row>
    <row r="20" spans="2:15">
      <c r="B20" s="3">
        <v>4.0999999999999996</v>
      </c>
      <c r="C20" s="18" t="str">
        <f>VLOOKUP(Table6[[#This Row],[WBS ID]],Table7[#All],2,FALSE)</f>
        <v>Integration</v>
      </c>
      <c r="D20" s="11" t="str">
        <f>VLOOKUP(Table6[[#This Row],[WBS ID]],Table7[#All],4,FALSE)</f>
        <v>Project Space Creation</v>
      </c>
      <c r="E20" s="22" t="str">
        <f>VLOOKUP(Table6[[#This Row],[WBS ID]],Table7[#All],5,FALSE)</f>
        <v>Create EVA DA project space for EI Jurisprudence</v>
      </c>
      <c r="F20" s="22" t="s">
        <v>32</v>
      </c>
      <c r="G20" s="3">
        <v>3</v>
      </c>
      <c r="H20" s="3">
        <v>2.5</v>
      </c>
      <c r="I20" s="3"/>
      <c r="J20" s="3"/>
      <c r="K20" s="3"/>
      <c r="L20" s="3"/>
      <c r="M20" s="3" t="s">
        <v>15</v>
      </c>
      <c r="N20" s="3"/>
      <c r="O20" s="3" t="s">
        <v>19</v>
      </c>
    </row>
    <row r="21" spans="2:15" ht="28.9">
      <c r="B21" s="3">
        <v>4.2</v>
      </c>
      <c r="C21" s="18" t="str">
        <f>VLOOKUP(Table6[[#This Row],[WBS ID]],Table7[#All],2,FALSE)</f>
        <v>Integration</v>
      </c>
      <c r="D21" s="11" t="str">
        <f>VLOOKUP(Table6[[#This Row],[WBS ID]],Table7[#All],4,FALSE)</f>
        <v>Index Creation</v>
      </c>
      <c r="E21" s="22" t="str">
        <f>VLOOKUP(Table6[[#This Row],[WBS ID]],Table7[#All],5,FALSE)</f>
        <v>Create and configure EN and FR jurisprudence indexes</v>
      </c>
      <c r="F21" s="22" t="s">
        <v>33</v>
      </c>
      <c r="G21" s="3">
        <v>5</v>
      </c>
      <c r="H21" s="3">
        <v>4.0999999999999996</v>
      </c>
      <c r="I21" s="3"/>
      <c r="J21" s="3"/>
      <c r="K21" s="3"/>
      <c r="L21" s="3"/>
      <c r="M21" s="3" t="s">
        <v>15</v>
      </c>
      <c r="N21" s="3"/>
      <c r="O21" s="3" t="s">
        <v>19</v>
      </c>
    </row>
    <row r="22" spans="2:15" ht="28.9">
      <c r="B22" s="3">
        <v>4.3</v>
      </c>
      <c r="C22" s="18" t="str">
        <f>VLOOKUP(Table6[[#This Row],[WBS ID]],Table7[#All],2,FALSE)</f>
        <v>Integration</v>
      </c>
      <c r="D22" s="11" t="str">
        <f>VLOOKUP(Table6[[#This Row],[WBS ID]],Table7[#All],4,FALSE)</f>
        <v>Indexer Configuration</v>
      </c>
      <c r="E22" s="22" t="str">
        <f>VLOOKUP(Table6[[#This Row],[WBS ID]],Table7[#All],5,FALSE)</f>
        <v>Configure indexers chunking embeddings and schedules</v>
      </c>
      <c r="F22" s="22" t="s">
        <v>34</v>
      </c>
      <c r="G22" s="3">
        <v>8</v>
      </c>
      <c r="H22" s="3">
        <v>3.4</v>
      </c>
      <c r="I22" s="3"/>
      <c r="J22" s="3"/>
      <c r="K22" s="3"/>
      <c r="L22" s="3"/>
      <c r="M22" s="23" t="s">
        <v>15</v>
      </c>
      <c r="N22" s="3"/>
      <c r="O22" s="3" t="s">
        <v>16</v>
      </c>
    </row>
    <row r="23" spans="2:15">
      <c r="B23" s="3">
        <v>4.4000000000000004</v>
      </c>
      <c r="C23" s="18" t="str">
        <f>VLOOKUP(Table6[[#This Row],[WBS ID]],Table7[#All],2,FALSE)</f>
        <v>Integration</v>
      </c>
      <c r="D23" s="11" t="str">
        <f>VLOOKUP(Table6[[#This Row],[WBS ID]],Table7[#All],4,FALSE)</f>
        <v>Filter Enablement</v>
      </c>
      <c r="E23" s="22" t="str">
        <f>VLOOKUP(Table6[[#This Row],[WBS ID]],Table7[#All],5,FALSE)</f>
        <v>Enable court and language filters using metadata</v>
      </c>
      <c r="F23" s="22" t="s">
        <v>35</v>
      </c>
      <c r="G23" s="3">
        <v>5</v>
      </c>
      <c r="H23" s="3">
        <v>3.3</v>
      </c>
      <c r="I23" s="3"/>
      <c r="J23" s="3"/>
      <c r="K23" s="3"/>
      <c r="L23" s="3"/>
      <c r="M23" s="3" t="s">
        <v>15</v>
      </c>
      <c r="N23" s="3"/>
      <c r="O23" s="3" t="s">
        <v>19</v>
      </c>
    </row>
    <row r="24" spans="2:15" ht="28.9">
      <c r="B24" s="3">
        <v>4.5</v>
      </c>
      <c r="C24" s="18" t="str">
        <f>VLOOKUP(Table6[[#This Row],[WBS ID]],Table7[#All],2,FALSE)</f>
        <v>Integration</v>
      </c>
      <c r="D24" s="11" t="str">
        <f>VLOOKUP(Table6[[#This Row],[WBS ID]],Table7[#All],4,FALSE)</f>
        <v>Citation Enforcement</v>
      </c>
      <c r="E24" s="22" t="str">
        <f>VLOOKUP(Table6[[#This Row],[WBS ID]],Table7[#All],5,FALSE)</f>
        <v>Ensure citation metadata is passed and enforced in responses</v>
      </c>
      <c r="F24" s="22" t="s">
        <v>36</v>
      </c>
      <c r="G24" s="3">
        <v>5</v>
      </c>
      <c r="H24" s="3">
        <v>2.6</v>
      </c>
      <c r="I24" s="3"/>
      <c r="J24" s="3"/>
      <c r="K24" s="3"/>
      <c r="L24" s="3"/>
      <c r="M24" s="3" t="s">
        <v>15</v>
      </c>
      <c r="N24" s="3"/>
      <c r="O24" s="3" t="s">
        <v>19</v>
      </c>
    </row>
    <row r="25" spans="2:15" ht="28.9">
      <c r="B25" s="3">
        <v>4.5999999999999996</v>
      </c>
      <c r="C25" s="18" t="str">
        <f>VLOOKUP(Table6[[#This Row],[WBS ID]],Table7[#All],2,FALSE)</f>
        <v>Integration</v>
      </c>
      <c r="D25" s="11" t="str">
        <f>VLOOKUP(Table6[[#This Row],[WBS ID]],Table7[#All],4,FALSE)</f>
        <v>Feedback Capture Enablement</v>
      </c>
      <c r="E25" s="22" t="str">
        <f>VLOOKUP(Table6[[#This Row],[WBS ID]],Table7[#All],5,FALSE)</f>
        <v>Enable thumbs up down and comment logging</v>
      </c>
      <c r="F25" s="22" t="s">
        <v>37</v>
      </c>
      <c r="G25" s="3">
        <v>5</v>
      </c>
      <c r="H25" s="3">
        <v>2.6</v>
      </c>
      <c r="I25" s="3"/>
      <c r="J25" s="3"/>
      <c r="K25" s="3"/>
      <c r="L25" s="3"/>
      <c r="M25" s="3" t="s">
        <v>15</v>
      </c>
      <c r="N25" s="3"/>
      <c r="O25" s="3" t="s">
        <v>19</v>
      </c>
    </row>
    <row r="26" spans="2:15" ht="28.9">
      <c r="B26" s="3">
        <v>5.0999999999999996</v>
      </c>
      <c r="C26" s="18" t="str">
        <f>VLOOKUP(Table6[[#This Row],[WBS ID]],Table7[#All],2,FALSE)</f>
        <v>Test</v>
      </c>
      <c r="D26" s="11" t="str">
        <f>VLOOKUP(Table6[[#This Row],[WBS ID]],Table7[#All],4,FALSE)</f>
        <v>Data Validation</v>
      </c>
      <c r="E26" s="22" t="str">
        <f>VLOOKUP(Table6[[#This Row],[WBS ID]],Table7[#All],5,FALSE)</f>
        <v>Validate coverage per court language and citation accuracy</v>
      </c>
      <c r="F26" s="22" t="s">
        <v>38</v>
      </c>
      <c r="G26" s="3">
        <v>8</v>
      </c>
      <c r="H26" s="3">
        <v>4.3</v>
      </c>
      <c r="I26" s="3"/>
      <c r="J26" s="3"/>
      <c r="K26" s="3"/>
      <c r="L26" s="3"/>
      <c r="N26" s="23" t="s">
        <v>15</v>
      </c>
      <c r="O26" s="3" t="s">
        <v>16</v>
      </c>
    </row>
    <row r="27" spans="2:15">
      <c r="B27" s="3">
        <v>5.2</v>
      </c>
      <c r="C27" s="18" t="str">
        <f>VLOOKUP(Table6[[#This Row],[WBS ID]],Table7[#All],2,FALSE)</f>
        <v>Test</v>
      </c>
      <c r="D27" s="11" t="str">
        <f>VLOOKUP(Table6[[#This Row],[WBS ID]],Table7[#All],4,FALSE)</f>
        <v>Functional Testing</v>
      </c>
      <c r="E27" s="22" t="str">
        <f>VLOOKUP(Table6[[#This Row],[WBS ID]],Table7[#All],5,FALSE)</f>
        <v>Test in-scope out-of-scope behavior filters and UX</v>
      </c>
      <c r="F27" s="22" t="s">
        <v>39</v>
      </c>
      <c r="G27" s="3">
        <v>8</v>
      </c>
      <c r="H27" s="3">
        <v>4.4000000000000004</v>
      </c>
      <c r="I27" s="3"/>
      <c r="J27" s="3"/>
      <c r="K27" s="3"/>
      <c r="L27" s="3"/>
      <c r="N27" s="3" t="s">
        <v>15</v>
      </c>
      <c r="O27" s="3" t="s">
        <v>19</v>
      </c>
    </row>
    <row r="28" spans="2:15">
      <c r="B28" s="3">
        <v>5.3</v>
      </c>
      <c r="C28" s="18" t="str">
        <f>VLOOKUP(Table6[[#This Row],[WBS ID]],Table7[#All],2,FALSE)</f>
        <v>Test</v>
      </c>
      <c r="D28" s="11" t="str">
        <f>VLOOKUP(Table6[[#This Row],[WBS ID]],Table7[#All],4,FALSE)</f>
        <v>Performance Testing</v>
      </c>
      <c r="E28" s="22" t="str">
        <f>VLOOKUP(Table6[[#This Row],[WBS ID]],Table7[#All],5,FALSE)</f>
        <v>Validate indexing time query latency and error rates</v>
      </c>
      <c r="F28" s="22" t="s">
        <v>40</v>
      </c>
      <c r="G28" s="3">
        <v>5</v>
      </c>
      <c r="H28" s="3">
        <v>4.3</v>
      </c>
      <c r="I28" s="3"/>
      <c r="J28" s="3"/>
      <c r="K28" s="3"/>
      <c r="L28" s="3"/>
      <c r="N28" s="3" t="s">
        <v>15</v>
      </c>
      <c r="O28" s="3" t="s">
        <v>19</v>
      </c>
    </row>
    <row r="29" spans="2:15">
      <c r="B29" s="3">
        <v>5.4</v>
      </c>
      <c r="C29" s="18" t="str">
        <f>VLOOKUP(Table6[[#This Row],[WBS ID]],Table7[#All],2,FALSE)</f>
        <v>Test</v>
      </c>
      <c r="D29" s="11" t="str">
        <f>VLOOKUP(Table6[[#This Row],[WBS ID]],Table7[#All],4,FALSE)</f>
        <v>Tuning and Remediation</v>
      </c>
      <c r="E29" s="22" t="str">
        <f>VLOOKUP(Table6[[#This Row],[WBS ID]],Table7[#All],5,FALSE)</f>
        <v>Adjust chunking prompts retries thresholds</v>
      </c>
      <c r="F29" s="22" t="s">
        <v>41</v>
      </c>
      <c r="G29" s="3">
        <v>5</v>
      </c>
      <c r="H29" s="3">
        <v>5.2</v>
      </c>
      <c r="I29" s="3"/>
      <c r="J29" s="3"/>
      <c r="K29" s="3"/>
      <c r="L29" s="3"/>
      <c r="N29" s="3" t="s">
        <v>15</v>
      </c>
      <c r="O29" s="3" t="s">
        <v>19</v>
      </c>
    </row>
    <row r="30" spans="2:15">
      <c r="B30" s="3">
        <v>6.1</v>
      </c>
      <c r="C30" s="18" t="str">
        <f>VLOOKUP(Table6[[#This Row],[WBS ID]],Table7[#All],2,FALSE)</f>
        <v>Deployment</v>
      </c>
      <c r="D30" s="11" t="str">
        <f>VLOOKUP(Table6[[#This Row],[WBS ID]],Table7[#All],4,FALSE)</f>
        <v>UAT Deployment</v>
      </c>
      <c r="E30" s="22" t="str">
        <f>VLOOKUP(Table6[[#This Row],[WBS ID]],Table7[#All],5,FALSE)</f>
        <v>Deploy jurisprudence capability to EVA DA UAT</v>
      </c>
      <c r="F30" s="22" t="s">
        <v>42</v>
      </c>
      <c r="G30" s="3">
        <v>5</v>
      </c>
      <c r="H30" s="3">
        <v>5.0999999999999996</v>
      </c>
      <c r="I30" s="3"/>
      <c r="J30" s="3"/>
      <c r="K30" s="3"/>
      <c r="L30" s="3"/>
      <c r="N30" s="23" t="s">
        <v>15</v>
      </c>
      <c r="O30" s="3" t="s">
        <v>16</v>
      </c>
    </row>
    <row r="31" spans="2:15" ht="28.9">
      <c r="B31" s="3">
        <v>6.2</v>
      </c>
      <c r="C31" s="18" t="str">
        <f>VLOOKUP(Table6[[#This Row],[WBS ID]],Table7[#All],2,FALSE)</f>
        <v>Deployment</v>
      </c>
      <c r="D31" s="11" t="str">
        <f>VLOOKUP(Table6[[#This Row],[WBS ID]],Table7[#All],4,FALSE)</f>
        <v>Operational Runbook</v>
      </c>
      <c r="E31" s="22" t="str">
        <f>VLOOKUP(Table6[[#This Row],[WBS ID]],Table7[#All],5,FALSE)</f>
        <v>Document extraction re-runs exceptions and support model</v>
      </c>
      <c r="F31" s="22" t="s">
        <v>43</v>
      </c>
      <c r="G31" s="3">
        <v>3</v>
      </c>
      <c r="H31" s="3">
        <v>3.1</v>
      </c>
      <c r="I31" s="3"/>
      <c r="J31" s="3"/>
      <c r="K31" s="3"/>
      <c r="L31" s="3"/>
      <c r="N31" s="3" t="s">
        <v>15</v>
      </c>
      <c r="O31" s="3" t="s">
        <v>19</v>
      </c>
    </row>
    <row r="32" spans="2:15">
      <c r="B32" s="3">
        <v>6.3</v>
      </c>
      <c r="C32" s="18" t="str">
        <f>VLOOKUP(Table6[[#This Row],[WBS ID]],Table7[#All],2,FALSE)</f>
        <v>Deployment</v>
      </c>
      <c r="D32" s="11" t="str">
        <f>VLOOKUP(Table6[[#This Row],[WBS ID]],Table7[#All],4,FALSE)</f>
        <v>Soft Launch Monitoring</v>
      </c>
      <c r="E32" s="22" t="str">
        <f>VLOOKUP(Table6[[#This Row],[WBS ID]],Table7[#All],5,FALSE)</f>
        <v>Monitor usage review feedback and capture backlog</v>
      </c>
      <c r="F32" s="22" t="s">
        <v>44</v>
      </c>
      <c r="G32" s="3">
        <v>3</v>
      </c>
      <c r="H32" s="3">
        <v>6.1</v>
      </c>
      <c r="I32" s="3"/>
      <c r="J32" s="3"/>
      <c r="K32" s="3"/>
      <c r="L32" s="3"/>
      <c r="N32" s="3" t="s">
        <v>15</v>
      </c>
      <c r="O32" s="3" t="s">
        <v>19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2C5B-72C5-42C1-82C0-9BB81B97C0D0}">
  <dimension ref="B4:F43"/>
  <sheetViews>
    <sheetView workbookViewId="0">
      <selection activeCell="A9" sqref="A9"/>
    </sheetView>
  </sheetViews>
  <sheetFormatPr defaultColWidth="8.85546875" defaultRowHeight="14.45"/>
  <cols>
    <col min="1" max="1" width="8.85546875" style="1"/>
    <col min="2" max="2" width="11.42578125" style="1" customWidth="1"/>
    <col min="3" max="4" width="35.85546875" style="1" bestFit="1" customWidth="1"/>
    <col min="5" max="5" width="69.7109375" style="1" bestFit="1" customWidth="1"/>
    <col min="6" max="6" width="31.7109375" style="1" customWidth="1"/>
    <col min="7" max="16384" width="8.85546875" style="1"/>
  </cols>
  <sheetData>
    <row r="4" spans="2:6" ht="15.6"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</row>
    <row r="5" spans="2:6">
      <c r="B5" s="1" t="s">
        <v>50</v>
      </c>
      <c r="C5" s="1" t="s">
        <v>51</v>
      </c>
      <c r="D5" s="1" t="s">
        <v>52</v>
      </c>
      <c r="E5" s="1" t="s">
        <v>53</v>
      </c>
      <c r="F5" s="1" t="s">
        <v>7</v>
      </c>
    </row>
    <row r="6" spans="2:6">
      <c r="B6" s="1" t="s">
        <v>54</v>
      </c>
      <c r="C6" s="1" t="s">
        <v>51</v>
      </c>
      <c r="D6" s="1" t="s">
        <v>14</v>
      </c>
      <c r="E6" s="1" t="s">
        <v>55</v>
      </c>
      <c r="F6" s="1" t="s">
        <v>7</v>
      </c>
    </row>
    <row r="7" spans="2:6">
      <c r="B7" s="1" t="s">
        <v>54</v>
      </c>
      <c r="C7" s="1" t="s">
        <v>51</v>
      </c>
      <c r="D7" s="1" t="s">
        <v>17</v>
      </c>
      <c r="E7" s="1" t="s">
        <v>56</v>
      </c>
      <c r="F7" s="1" t="s">
        <v>7</v>
      </c>
    </row>
    <row r="8" spans="2:6">
      <c r="B8" s="1" t="s">
        <v>54</v>
      </c>
      <c r="C8" s="1" t="s">
        <v>51</v>
      </c>
      <c r="D8" s="1" t="s">
        <v>18</v>
      </c>
      <c r="E8" s="1" t="s">
        <v>57</v>
      </c>
      <c r="F8" s="1" t="s">
        <v>7</v>
      </c>
    </row>
    <row r="9" spans="2:6">
      <c r="B9" s="1" t="s">
        <v>54</v>
      </c>
      <c r="C9" s="1" t="s">
        <v>51</v>
      </c>
      <c r="D9" s="1" t="s">
        <v>20</v>
      </c>
      <c r="E9" s="1" t="s">
        <v>58</v>
      </c>
      <c r="F9" s="1" t="s">
        <v>7</v>
      </c>
    </row>
    <row r="10" spans="2:6">
      <c r="B10" s="1" t="s">
        <v>54</v>
      </c>
      <c r="C10" s="1" t="s">
        <v>51</v>
      </c>
      <c r="D10" s="1" t="s">
        <v>21</v>
      </c>
      <c r="E10" s="1" t="s">
        <v>59</v>
      </c>
      <c r="F10" s="1" t="s">
        <v>8</v>
      </c>
    </row>
    <row r="12" spans="2:6">
      <c r="B12" s="1" t="s">
        <v>50</v>
      </c>
      <c r="C12" s="1" t="s">
        <v>60</v>
      </c>
      <c r="D12" s="1" t="s">
        <v>61</v>
      </c>
      <c r="E12" s="1" t="s">
        <v>62</v>
      </c>
      <c r="F12" s="1" t="s">
        <v>8</v>
      </c>
    </row>
    <row r="13" spans="2:6">
      <c r="B13" s="1" t="s">
        <v>54</v>
      </c>
      <c r="C13" s="1" t="s">
        <v>60</v>
      </c>
      <c r="D13" s="1" t="s">
        <v>22</v>
      </c>
      <c r="E13" s="1" t="s">
        <v>63</v>
      </c>
      <c r="F13" s="1" t="s">
        <v>8</v>
      </c>
    </row>
    <row r="14" spans="2:6">
      <c r="B14" s="1" t="s">
        <v>54</v>
      </c>
      <c r="C14" s="1" t="s">
        <v>60</v>
      </c>
      <c r="D14" s="1" t="s">
        <v>23</v>
      </c>
      <c r="E14" s="1" t="s">
        <v>64</v>
      </c>
      <c r="F14" s="1" t="s">
        <v>8</v>
      </c>
    </row>
    <row r="15" spans="2:6">
      <c r="B15" s="1" t="s">
        <v>54</v>
      </c>
      <c r="C15" s="1" t="s">
        <v>60</v>
      </c>
      <c r="D15" s="1" t="s">
        <v>24</v>
      </c>
      <c r="E15" s="1" t="s">
        <v>65</v>
      </c>
      <c r="F15" s="1" t="s">
        <v>8</v>
      </c>
    </row>
    <row r="16" spans="2:6">
      <c r="B16" s="1" t="s">
        <v>54</v>
      </c>
      <c r="C16" s="1" t="s">
        <v>60</v>
      </c>
      <c r="D16" s="1" t="s">
        <v>25</v>
      </c>
      <c r="E16" s="1" t="s">
        <v>66</v>
      </c>
      <c r="F16" s="1" t="s">
        <v>8</v>
      </c>
    </row>
    <row r="17" spans="2:6">
      <c r="B17" s="1" t="s">
        <v>54</v>
      </c>
      <c r="C17" s="1" t="s">
        <v>60</v>
      </c>
      <c r="D17" s="1" t="s">
        <v>26</v>
      </c>
      <c r="E17" s="1" t="s">
        <v>67</v>
      </c>
      <c r="F17" s="1" t="s">
        <v>9</v>
      </c>
    </row>
    <row r="18" spans="2:6">
      <c r="B18" s="1" t="s">
        <v>54</v>
      </c>
      <c r="C18" s="1" t="s">
        <v>60</v>
      </c>
      <c r="D18" s="1" t="s">
        <v>27</v>
      </c>
      <c r="E18" s="1" t="s">
        <v>68</v>
      </c>
      <c r="F18" s="1" t="s">
        <v>9</v>
      </c>
    </row>
    <row r="20" spans="2:6">
      <c r="B20" s="1" t="s">
        <v>50</v>
      </c>
      <c r="C20" s="1" t="s">
        <v>69</v>
      </c>
      <c r="D20" s="1" t="s">
        <v>70</v>
      </c>
      <c r="E20" s="1" t="s">
        <v>71</v>
      </c>
      <c r="F20" s="1" t="s">
        <v>10</v>
      </c>
    </row>
    <row r="21" spans="2:6">
      <c r="B21" s="1" t="s">
        <v>54</v>
      </c>
      <c r="C21" s="1" t="s">
        <v>69</v>
      </c>
      <c r="D21" s="1" t="s">
        <v>28</v>
      </c>
      <c r="E21" s="1" t="s">
        <v>72</v>
      </c>
      <c r="F21" s="1" t="s">
        <v>10</v>
      </c>
    </row>
    <row r="22" spans="2:6">
      <c r="B22" s="1" t="s">
        <v>54</v>
      </c>
      <c r="C22" s="1" t="s">
        <v>69</v>
      </c>
      <c r="D22" s="1" t="s">
        <v>29</v>
      </c>
      <c r="E22" s="1" t="s">
        <v>73</v>
      </c>
      <c r="F22" s="1" t="s">
        <v>10</v>
      </c>
    </row>
    <row r="23" spans="2:6">
      <c r="B23" s="1" t="s">
        <v>54</v>
      </c>
      <c r="C23" s="1" t="s">
        <v>69</v>
      </c>
      <c r="D23" s="1" t="s">
        <v>30</v>
      </c>
      <c r="E23" s="1" t="s">
        <v>74</v>
      </c>
      <c r="F23" s="1" t="s">
        <v>10</v>
      </c>
    </row>
    <row r="24" spans="2:6">
      <c r="B24" s="1" t="s">
        <v>54</v>
      </c>
      <c r="C24" s="1" t="s">
        <v>69</v>
      </c>
      <c r="D24" s="1" t="s">
        <v>31</v>
      </c>
      <c r="E24" s="1" t="s">
        <v>75</v>
      </c>
      <c r="F24" s="1" t="s">
        <v>10</v>
      </c>
    </row>
    <row r="26" spans="2:6">
      <c r="B26" s="1" t="s">
        <v>50</v>
      </c>
      <c r="C26" s="1" t="s">
        <v>76</v>
      </c>
      <c r="D26" s="1" t="s">
        <v>77</v>
      </c>
      <c r="E26" s="1" t="s">
        <v>78</v>
      </c>
      <c r="F26" s="1" t="s">
        <v>11</v>
      </c>
    </row>
    <row r="27" spans="2:6">
      <c r="B27" s="1" t="s">
        <v>54</v>
      </c>
      <c r="C27" s="1" t="s">
        <v>76</v>
      </c>
      <c r="D27" s="1" t="s">
        <v>32</v>
      </c>
      <c r="E27" s="1" t="s">
        <v>79</v>
      </c>
      <c r="F27" s="1" t="s">
        <v>11</v>
      </c>
    </row>
    <row r="28" spans="2:6">
      <c r="B28" s="1" t="s">
        <v>54</v>
      </c>
      <c r="C28" s="1" t="s">
        <v>76</v>
      </c>
      <c r="D28" s="1" t="s">
        <v>80</v>
      </c>
      <c r="E28" s="1" t="s">
        <v>81</v>
      </c>
      <c r="F28" s="1" t="s">
        <v>11</v>
      </c>
    </row>
    <row r="29" spans="2:6">
      <c r="B29" s="1" t="s">
        <v>54</v>
      </c>
      <c r="C29" s="1" t="s">
        <v>76</v>
      </c>
      <c r="D29" s="1" t="s">
        <v>34</v>
      </c>
      <c r="E29" s="1" t="s">
        <v>82</v>
      </c>
      <c r="F29" s="1" t="s">
        <v>11</v>
      </c>
    </row>
    <row r="30" spans="2:6">
      <c r="B30" s="1" t="s">
        <v>54</v>
      </c>
      <c r="C30" s="1" t="s">
        <v>76</v>
      </c>
      <c r="D30" s="1" t="s">
        <v>35</v>
      </c>
      <c r="E30" s="1" t="s">
        <v>83</v>
      </c>
      <c r="F30" s="1" t="s">
        <v>11</v>
      </c>
    </row>
    <row r="31" spans="2:6">
      <c r="B31" s="1" t="s">
        <v>54</v>
      </c>
      <c r="C31" s="1" t="s">
        <v>76</v>
      </c>
      <c r="D31" s="1" t="s">
        <v>36</v>
      </c>
      <c r="E31" s="1" t="s">
        <v>84</v>
      </c>
      <c r="F31" s="1" t="s">
        <v>11</v>
      </c>
    </row>
    <row r="32" spans="2:6">
      <c r="B32" s="1" t="s">
        <v>54</v>
      </c>
      <c r="C32" s="1" t="s">
        <v>76</v>
      </c>
      <c r="D32" s="1" t="s">
        <v>37</v>
      </c>
      <c r="E32" s="1" t="s">
        <v>85</v>
      </c>
      <c r="F32" s="1" t="s">
        <v>11</v>
      </c>
    </row>
    <row r="34" spans="2:6">
      <c r="B34" s="1" t="s">
        <v>50</v>
      </c>
      <c r="C34" s="1" t="s">
        <v>86</v>
      </c>
      <c r="D34" s="1" t="s">
        <v>87</v>
      </c>
      <c r="E34" s="1" t="s">
        <v>88</v>
      </c>
      <c r="F34" s="1" t="s">
        <v>12</v>
      </c>
    </row>
    <row r="35" spans="2:6">
      <c r="B35" s="1" t="s">
        <v>54</v>
      </c>
      <c r="C35" s="1" t="s">
        <v>86</v>
      </c>
      <c r="D35" s="1" t="s">
        <v>89</v>
      </c>
      <c r="E35" s="1" t="s">
        <v>90</v>
      </c>
      <c r="F35" s="1" t="s">
        <v>12</v>
      </c>
    </row>
    <row r="36" spans="2:6">
      <c r="B36" s="1" t="s">
        <v>54</v>
      </c>
      <c r="C36" s="1" t="s">
        <v>86</v>
      </c>
      <c r="D36" s="1" t="s">
        <v>39</v>
      </c>
      <c r="E36" s="1" t="s">
        <v>91</v>
      </c>
      <c r="F36" s="1" t="s">
        <v>12</v>
      </c>
    </row>
    <row r="37" spans="2:6">
      <c r="B37" s="1" t="s">
        <v>54</v>
      </c>
      <c r="C37" s="1" t="s">
        <v>86</v>
      </c>
      <c r="D37" s="1" t="s">
        <v>40</v>
      </c>
      <c r="E37" s="1" t="s">
        <v>92</v>
      </c>
      <c r="F37" s="1" t="s">
        <v>12</v>
      </c>
    </row>
    <row r="38" spans="2:6">
      <c r="B38" s="1" t="s">
        <v>54</v>
      </c>
      <c r="C38" s="1" t="s">
        <v>86</v>
      </c>
      <c r="D38" s="1" t="s">
        <v>41</v>
      </c>
      <c r="E38" s="1" t="s">
        <v>93</v>
      </c>
      <c r="F38" s="1" t="s">
        <v>12</v>
      </c>
    </row>
    <row r="40" spans="2:6">
      <c r="B40" s="1" t="s">
        <v>50</v>
      </c>
      <c r="C40" s="1" t="s">
        <v>94</v>
      </c>
      <c r="D40" s="1" t="s">
        <v>95</v>
      </c>
      <c r="E40" s="1" t="s">
        <v>96</v>
      </c>
      <c r="F40" s="1" t="s">
        <v>12</v>
      </c>
    </row>
    <row r="41" spans="2:6">
      <c r="B41" s="1" t="s">
        <v>54</v>
      </c>
      <c r="C41" s="1" t="s">
        <v>94</v>
      </c>
      <c r="D41" s="1" t="s">
        <v>42</v>
      </c>
      <c r="E41" s="1" t="s">
        <v>97</v>
      </c>
      <c r="F41" s="1" t="s">
        <v>12</v>
      </c>
    </row>
    <row r="42" spans="2:6">
      <c r="B42" s="1" t="s">
        <v>54</v>
      </c>
      <c r="C42" s="1" t="s">
        <v>94</v>
      </c>
      <c r="D42" s="1" t="s">
        <v>43</v>
      </c>
      <c r="E42" s="1" t="s">
        <v>98</v>
      </c>
      <c r="F42" s="1" t="s">
        <v>12</v>
      </c>
    </row>
    <row r="43" spans="2:6">
      <c r="B43" s="1" t="s">
        <v>54</v>
      </c>
      <c r="C43" s="1" t="s">
        <v>94</v>
      </c>
      <c r="D43" s="1" t="s">
        <v>44</v>
      </c>
      <c r="E43" s="1" t="s">
        <v>99</v>
      </c>
      <c r="F43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E4EB-3101-467C-8A4C-3B63B29E8635}">
  <dimension ref="B4:G48"/>
  <sheetViews>
    <sheetView workbookViewId="0">
      <selection activeCell="A18" sqref="A18"/>
    </sheetView>
  </sheetViews>
  <sheetFormatPr defaultColWidth="8.85546875" defaultRowHeight="14.45"/>
  <cols>
    <col min="1" max="1" width="8.85546875" style="1"/>
    <col min="2" max="2" width="8.5703125" style="1" customWidth="1"/>
    <col min="3" max="3" width="25.28515625" style="1" customWidth="1"/>
    <col min="4" max="4" width="11.5703125" style="3" bestFit="1" customWidth="1"/>
    <col min="5" max="5" width="9.7109375" style="3" customWidth="1"/>
    <col min="6" max="6" width="31.7109375" style="1" bestFit="1" customWidth="1"/>
    <col min="7" max="7" width="61.85546875" style="1" bestFit="1" customWidth="1"/>
    <col min="8" max="16384" width="8.85546875" style="1"/>
  </cols>
  <sheetData>
    <row r="4" spans="2:7" ht="15.6">
      <c r="B4" s="13" t="s">
        <v>49</v>
      </c>
      <c r="C4" s="13" t="s">
        <v>100</v>
      </c>
      <c r="D4" s="13" t="s">
        <v>1</v>
      </c>
      <c r="E4" s="13" t="s">
        <v>0</v>
      </c>
      <c r="F4" s="13" t="s">
        <v>101</v>
      </c>
      <c r="G4" s="13" t="s">
        <v>102</v>
      </c>
    </row>
    <row r="5" spans="2:7">
      <c r="B5" s="1" t="s">
        <v>7</v>
      </c>
      <c r="C5" s="1" t="s">
        <v>103</v>
      </c>
      <c r="D5" s="3" t="s">
        <v>104</v>
      </c>
      <c r="E5" s="3">
        <v>1.1000000000000001</v>
      </c>
      <c r="F5" s="1" t="s">
        <v>105</v>
      </c>
      <c r="G5" s="1" t="s">
        <v>106</v>
      </c>
    </row>
    <row r="6" spans="2:7">
      <c r="B6" s="1" t="s">
        <v>7</v>
      </c>
      <c r="C6" s="14" t="s">
        <v>103</v>
      </c>
      <c r="D6" s="9" t="s">
        <v>104</v>
      </c>
      <c r="E6" s="9">
        <v>1.2</v>
      </c>
      <c r="F6" s="1" t="s">
        <v>107</v>
      </c>
      <c r="G6" s="1" t="s">
        <v>108</v>
      </c>
    </row>
    <row r="7" spans="2:7">
      <c r="B7" s="1" t="s">
        <v>7</v>
      </c>
      <c r="C7" s="1" t="s">
        <v>103</v>
      </c>
      <c r="D7" s="3" t="s">
        <v>104</v>
      </c>
      <c r="E7" s="3">
        <v>1.3</v>
      </c>
      <c r="F7" s="1" t="s">
        <v>109</v>
      </c>
      <c r="G7" s="1" t="s">
        <v>110</v>
      </c>
    </row>
    <row r="8" spans="2:7">
      <c r="B8" s="1" t="s">
        <v>7</v>
      </c>
      <c r="C8" s="1" t="s">
        <v>103</v>
      </c>
      <c r="D8" s="3" t="s">
        <v>104</v>
      </c>
      <c r="E8" s="3">
        <v>1.4</v>
      </c>
      <c r="F8" s="1" t="s">
        <v>111</v>
      </c>
      <c r="G8" s="1" t="s">
        <v>112</v>
      </c>
    </row>
    <row r="9" spans="2:7">
      <c r="B9" s="1" t="s">
        <v>8</v>
      </c>
      <c r="C9" s="1" t="s">
        <v>113</v>
      </c>
      <c r="D9" s="3" t="s">
        <v>104</v>
      </c>
      <c r="E9" s="3">
        <v>1.5</v>
      </c>
      <c r="F9" s="1" t="s">
        <v>114</v>
      </c>
      <c r="G9" s="1" t="s">
        <v>115</v>
      </c>
    </row>
    <row r="10" spans="2:7">
      <c r="B10" s="1" t="s">
        <v>8</v>
      </c>
      <c r="C10" s="1" t="s">
        <v>113</v>
      </c>
      <c r="D10" s="3" t="s">
        <v>116</v>
      </c>
      <c r="E10" s="3">
        <v>2.1</v>
      </c>
      <c r="F10" s="1" t="s">
        <v>117</v>
      </c>
      <c r="G10" s="1" t="s">
        <v>118</v>
      </c>
    </row>
    <row r="11" spans="2:7">
      <c r="B11" s="1" t="s">
        <v>8</v>
      </c>
      <c r="C11" s="1" t="s">
        <v>113</v>
      </c>
      <c r="D11" s="3" t="s">
        <v>116</v>
      </c>
      <c r="E11" s="3">
        <v>2.2000000000000002</v>
      </c>
      <c r="F11" s="1" t="s">
        <v>119</v>
      </c>
      <c r="G11" s="1" t="s">
        <v>120</v>
      </c>
    </row>
    <row r="12" spans="2:7">
      <c r="B12" s="1" t="s">
        <v>9</v>
      </c>
      <c r="C12" s="1" t="s">
        <v>121</v>
      </c>
      <c r="D12" s="3" t="s">
        <v>116</v>
      </c>
      <c r="E12" s="3">
        <v>2.2999999999999998</v>
      </c>
      <c r="F12" s="1" t="s">
        <v>122</v>
      </c>
      <c r="G12" s="1" t="s">
        <v>123</v>
      </c>
    </row>
    <row r="13" spans="2:7">
      <c r="B13" s="1" t="s">
        <v>9</v>
      </c>
      <c r="C13" s="1" t="s">
        <v>121</v>
      </c>
      <c r="D13" s="3" t="s">
        <v>116</v>
      </c>
      <c r="E13" s="3">
        <v>2.4</v>
      </c>
      <c r="F13" s="1" t="s">
        <v>124</v>
      </c>
      <c r="G13" s="1" t="s">
        <v>125</v>
      </c>
    </row>
    <row r="14" spans="2:7">
      <c r="B14" s="15" t="s">
        <v>10</v>
      </c>
      <c r="C14" s="15" t="s">
        <v>126</v>
      </c>
      <c r="D14" s="16" t="s">
        <v>127</v>
      </c>
      <c r="E14" s="16">
        <v>3.1</v>
      </c>
      <c r="F14" s="15" t="s">
        <v>128</v>
      </c>
      <c r="G14" s="15" t="s">
        <v>129</v>
      </c>
    </row>
    <row r="15" spans="2:7">
      <c r="B15" s="1" t="s">
        <v>10</v>
      </c>
      <c r="C15" s="1" t="s">
        <v>126</v>
      </c>
      <c r="D15" s="3" t="s">
        <v>130</v>
      </c>
      <c r="E15" s="3">
        <v>3.2</v>
      </c>
      <c r="F15" s="1" t="s">
        <v>131</v>
      </c>
      <c r="G15" s="1" t="s">
        <v>132</v>
      </c>
    </row>
    <row r="16" spans="2:7">
      <c r="B16" s="1" t="s">
        <v>10</v>
      </c>
      <c r="C16" s="1" t="s">
        <v>126</v>
      </c>
      <c r="D16" s="3" t="s">
        <v>130</v>
      </c>
      <c r="E16" s="3">
        <v>3.3</v>
      </c>
      <c r="F16" s="1" t="s">
        <v>133</v>
      </c>
      <c r="G16" s="1" t="s">
        <v>134</v>
      </c>
    </row>
    <row r="17" spans="2:7">
      <c r="B17" s="1" t="s">
        <v>11</v>
      </c>
      <c r="C17" s="1" t="s">
        <v>135</v>
      </c>
      <c r="D17" s="3" t="s">
        <v>130</v>
      </c>
      <c r="E17" s="3">
        <v>3.4</v>
      </c>
      <c r="F17" s="1" t="s">
        <v>136</v>
      </c>
      <c r="G17" s="1" t="s">
        <v>137</v>
      </c>
    </row>
    <row r="18" spans="2:7">
      <c r="B18" s="1" t="s">
        <v>11</v>
      </c>
      <c r="C18" s="1" t="s">
        <v>135</v>
      </c>
      <c r="D18" s="3" t="s">
        <v>130</v>
      </c>
      <c r="E18" s="3">
        <v>3.5</v>
      </c>
      <c r="F18" s="1" t="s">
        <v>138</v>
      </c>
      <c r="G18" s="1" t="s">
        <v>139</v>
      </c>
    </row>
    <row r="19" spans="2:7">
      <c r="B19" s="1" t="s">
        <v>11</v>
      </c>
      <c r="C19" s="1" t="s">
        <v>135</v>
      </c>
      <c r="D19" s="3" t="s">
        <v>130</v>
      </c>
      <c r="E19" s="3">
        <v>3.6</v>
      </c>
      <c r="F19" s="1" t="s">
        <v>140</v>
      </c>
      <c r="G19" s="1" t="s">
        <v>141</v>
      </c>
    </row>
    <row r="20" spans="2:7">
      <c r="B20" s="1" t="s">
        <v>11</v>
      </c>
      <c r="C20" s="1" t="s">
        <v>135</v>
      </c>
      <c r="D20" s="3" t="s">
        <v>130</v>
      </c>
      <c r="E20" s="3">
        <v>3.7</v>
      </c>
      <c r="F20" s="1" t="s">
        <v>142</v>
      </c>
      <c r="G20" s="1" t="s">
        <v>143</v>
      </c>
    </row>
    <row r="21" spans="2:7">
      <c r="B21" s="1" t="s">
        <v>12</v>
      </c>
      <c r="C21" s="1" t="s">
        <v>144</v>
      </c>
      <c r="D21" s="3" t="s">
        <v>145</v>
      </c>
      <c r="E21" s="3">
        <v>4.0999999999999996</v>
      </c>
      <c r="F21" s="1" t="s">
        <v>146</v>
      </c>
      <c r="G21" s="1" t="s">
        <v>147</v>
      </c>
    </row>
    <row r="22" spans="2:7">
      <c r="B22" s="1" t="s">
        <v>12</v>
      </c>
      <c r="C22" s="1" t="s">
        <v>144</v>
      </c>
      <c r="D22" s="3" t="s">
        <v>145</v>
      </c>
      <c r="E22" s="3">
        <v>4.2</v>
      </c>
      <c r="F22" s="1" t="s">
        <v>148</v>
      </c>
      <c r="G22" s="1" t="s">
        <v>149</v>
      </c>
    </row>
    <row r="23" spans="2:7">
      <c r="B23" s="1" t="s">
        <v>12</v>
      </c>
      <c r="C23" s="1" t="s">
        <v>144</v>
      </c>
      <c r="D23" s="3" t="s">
        <v>145</v>
      </c>
      <c r="E23" s="3">
        <v>4.3</v>
      </c>
      <c r="F23" s="1" t="s">
        <v>150</v>
      </c>
      <c r="G23" s="1" t="s">
        <v>151</v>
      </c>
    </row>
    <row r="24" spans="2:7">
      <c r="B24" s="1" t="s">
        <v>12</v>
      </c>
      <c r="C24" s="1" t="s">
        <v>144</v>
      </c>
      <c r="D24" s="3" t="s">
        <v>145</v>
      </c>
      <c r="E24" s="3">
        <v>4.4000000000000004</v>
      </c>
      <c r="F24" s="1" t="s">
        <v>152</v>
      </c>
      <c r="G24" s="1" t="s">
        <v>153</v>
      </c>
    </row>
    <row r="25" spans="2:7">
      <c r="B25" s="1" t="s">
        <v>12</v>
      </c>
      <c r="C25" s="1" t="s">
        <v>144</v>
      </c>
      <c r="D25" s="3" t="s">
        <v>154</v>
      </c>
      <c r="E25" s="3">
        <v>5.0999999999999996</v>
      </c>
      <c r="F25" s="1" t="s">
        <v>155</v>
      </c>
      <c r="G25" s="1" t="s">
        <v>156</v>
      </c>
    </row>
    <row r="26" spans="2:7">
      <c r="B26" s="1" t="s">
        <v>12</v>
      </c>
      <c r="C26" s="1" t="s">
        <v>144</v>
      </c>
      <c r="D26" s="3" t="s">
        <v>154</v>
      </c>
      <c r="E26" s="3">
        <v>5.2</v>
      </c>
      <c r="F26" s="1" t="s">
        <v>157</v>
      </c>
      <c r="G26" s="1" t="s">
        <v>158</v>
      </c>
    </row>
    <row r="27" spans="2:7">
      <c r="B27" s="1" t="s">
        <v>12</v>
      </c>
      <c r="C27" s="1" t="s">
        <v>144</v>
      </c>
      <c r="D27" s="3" t="s">
        <v>154</v>
      </c>
      <c r="E27" s="3">
        <v>5.3</v>
      </c>
      <c r="F27" s="1" t="s">
        <v>159</v>
      </c>
      <c r="G27" s="1" t="s">
        <v>160</v>
      </c>
    </row>
    <row r="30" spans="2:7" ht="23.45">
      <c r="B30" s="17" t="s">
        <v>161</v>
      </c>
    </row>
    <row r="31" spans="2:7">
      <c r="B31" s="18"/>
    </row>
    <row r="32" spans="2:7">
      <c r="B32" s="19" t="s">
        <v>162</v>
      </c>
    </row>
    <row r="33" spans="2:2">
      <c r="B33" s="18" t="s">
        <v>163</v>
      </c>
    </row>
    <row r="34" spans="2:2">
      <c r="B34" s="18"/>
    </row>
    <row r="35" spans="2:2">
      <c r="B35" s="19" t="s">
        <v>164</v>
      </c>
    </row>
    <row r="36" spans="2:2">
      <c r="B36" s="18" t="s">
        <v>165</v>
      </c>
    </row>
    <row r="37" spans="2:2">
      <c r="B37" s="18"/>
    </row>
    <row r="38" spans="2:2">
      <c r="B38" s="19" t="s">
        <v>166</v>
      </c>
    </row>
    <row r="39" spans="2:2">
      <c r="B39" s="18" t="s">
        <v>167</v>
      </c>
    </row>
    <row r="40" spans="2:2">
      <c r="B40" s="18"/>
    </row>
    <row r="41" spans="2:2">
      <c r="B41" s="19" t="s">
        <v>168</v>
      </c>
    </row>
    <row r="42" spans="2:2">
      <c r="B42" s="18" t="s">
        <v>169</v>
      </c>
    </row>
    <row r="43" spans="2:2">
      <c r="B43" s="18"/>
    </row>
    <row r="44" spans="2:2">
      <c r="B44" s="19" t="s">
        <v>170</v>
      </c>
    </row>
    <row r="45" spans="2:2">
      <c r="B45" s="18" t="s">
        <v>171</v>
      </c>
    </row>
    <row r="46" spans="2:2">
      <c r="B46" s="18"/>
    </row>
    <row r="47" spans="2:2">
      <c r="B47" s="19" t="s">
        <v>172</v>
      </c>
    </row>
    <row r="48" spans="2:2">
      <c r="B48" s="18" t="s">
        <v>173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E7DD-9DFC-4FBD-95B1-562B0EAF83C6}">
  <dimension ref="B3:H42"/>
  <sheetViews>
    <sheetView workbookViewId="0">
      <selection activeCell="D11" sqref="D11"/>
    </sheetView>
  </sheetViews>
  <sheetFormatPr defaultColWidth="8.85546875" defaultRowHeight="14.45"/>
  <cols>
    <col min="1" max="1" width="8.85546875" style="1"/>
    <col min="2" max="2" width="16.5703125" style="1" bestFit="1" customWidth="1"/>
    <col min="3" max="3" width="38.28515625" style="1" bestFit="1" customWidth="1"/>
    <col min="4" max="4" width="38.7109375" style="1" bestFit="1" customWidth="1"/>
    <col min="5" max="5" width="75.28515625" style="1" bestFit="1" customWidth="1"/>
    <col min="6" max="6" width="11.7109375" style="3" bestFit="1" customWidth="1"/>
    <col min="7" max="7" width="18.28515625" style="3" bestFit="1" customWidth="1"/>
    <col min="8" max="8" width="35.85546875" style="1" bestFit="1" customWidth="1"/>
    <col min="9" max="16384" width="8.85546875" style="1"/>
  </cols>
  <sheetData>
    <row r="3" spans="2:8" ht="18">
      <c r="B3" s="12" t="s">
        <v>45</v>
      </c>
      <c r="C3" s="12" t="s">
        <v>46</v>
      </c>
      <c r="D3" s="12" t="s">
        <v>47</v>
      </c>
      <c r="E3" s="12" t="s">
        <v>48</v>
      </c>
      <c r="F3" s="12" t="s">
        <v>49</v>
      </c>
      <c r="G3" s="12" t="s">
        <v>5</v>
      </c>
      <c r="H3" s="12" t="s">
        <v>174</v>
      </c>
    </row>
    <row r="4" spans="2:8">
      <c r="B4" s="1" t="s">
        <v>50</v>
      </c>
      <c r="C4" s="1" t="s">
        <v>51</v>
      </c>
      <c r="D4" s="1" t="s">
        <v>52</v>
      </c>
      <c r="E4" s="1" t="s">
        <v>53</v>
      </c>
      <c r="F4" s="3" t="s">
        <v>7</v>
      </c>
    </row>
    <row r="5" spans="2:8">
      <c r="B5" s="1" t="s">
        <v>54</v>
      </c>
      <c r="C5" s="1" t="s">
        <v>51</v>
      </c>
      <c r="D5" s="1" t="s">
        <v>14</v>
      </c>
      <c r="E5" s="1" t="s">
        <v>55</v>
      </c>
      <c r="F5" s="3" t="s">
        <v>7</v>
      </c>
      <c r="G5" s="3">
        <v>5</v>
      </c>
    </row>
    <row r="6" spans="2:8">
      <c r="B6" s="1" t="s">
        <v>54</v>
      </c>
      <c r="C6" s="1" t="s">
        <v>51</v>
      </c>
      <c r="D6" s="1" t="s">
        <v>17</v>
      </c>
      <c r="E6" s="1" t="s">
        <v>56</v>
      </c>
      <c r="F6" s="3" t="s">
        <v>7</v>
      </c>
      <c r="G6" s="3">
        <v>8</v>
      </c>
      <c r="H6" s="1" t="s">
        <v>14</v>
      </c>
    </row>
    <row r="7" spans="2:8">
      <c r="B7" s="1" t="s">
        <v>54</v>
      </c>
      <c r="C7" s="1" t="s">
        <v>51</v>
      </c>
      <c r="D7" s="1" t="s">
        <v>18</v>
      </c>
      <c r="E7" s="1" t="s">
        <v>57</v>
      </c>
      <c r="F7" s="3" t="s">
        <v>7</v>
      </c>
      <c r="G7" s="3">
        <v>5</v>
      </c>
      <c r="H7" s="1" t="s">
        <v>17</v>
      </c>
    </row>
    <row r="8" spans="2:8">
      <c r="B8" s="1" t="s">
        <v>54</v>
      </c>
      <c r="C8" s="1" t="s">
        <v>51</v>
      </c>
      <c r="D8" s="1" t="s">
        <v>20</v>
      </c>
      <c r="E8" s="1" t="s">
        <v>58</v>
      </c>
      <c r="F8" s="3" t="s">
        <v>7</v>
      </c>
      <c r="G8" s="3">
        <v>8</v>
      </c>
      <c r="H8" s="1" t="s">
        <v>14</v>
      </c>
    </row>
    <row r="9" spans="2:8">
      <c r="B9" s="1" t="s">
        <v>54</v>
      </c>
      <c r="C9" s="1" t="s">
        <v>51</v>
      </c>
      <c r="D9" s="1" t="s">
        <v>21</v>
      </c>
      <c r="E9" s="1" t="s">
        <v>59</v>
      </c>
      <c r="F9" s="3" t="s">
        <v>8</v>
      </c>
      <c r="G9" s="3">
        <v>5</v>
      </c>
      <c r="H9" s="1" t="s">
        <v>14</v>
      </c>
    </row>
    <row r="11" spans="2:8">
      <c r="B11" s="1" t="s">
        <v>50</v>
      </c>
      <c r="C11" s="1" t="s">
        <v>60</v>
      </c>
      <c r="D11" s="1" t="s">
        <v>61</v>
      </c>
      <c r="E11" s="1" t="s">
        <v>62</v>
      </c>
      <c r="F11" s="3" t="s">
        <v>8</v>
      </c>
    </row>
    <row r="12" spans="2:8">
      <c r="B12" s="1" t="s">
        <v>54</v>
      </c>
      <c r="C12" s="1" t="s">
        <v>60</v>
      </c>
      <c r="D12" s="1" t="s">
        <v>22</v>
      </c>
      <c r="E12" s="1" t="s">
        <v>63</v>
      </c>
      <c r="F12" s="3" t="s">
        <v>8</v>
      </c>
      <c r="G12" s="3">
        <v>8</v>
      </c>
      <c r="H12" s="1" t="s">
        <v>21</v>
      </c>
    </row>
    <row r="13" spans="2:8">
      <c r="B13" s="1" t="s">
        <v>54</v>
      </c>
      <c r="C13" s="1" t="s">
        <v>60</v>
      </c>
      <c r="D13" s="1" t="s">
        <v>23</v>
      </c>
      <c r="E13" s="1" t="s">
        <v>64</v>
      </c>
      <c r="F13" s="3" t="s">
        <v>8</v>
      </c>
      <c r="G13" s="3">
        <v>5</v>
      </c>
      <c r="H13" s="1" t="s">
        <v>22</v>
      </c>
    </row>
    <row r="14" spans="2:8">
      <c r="B14" s="1" t="s">
        <v>54</v>
      </c>
      <c r="C14" s="1" t="s">
        <v>60</v>
      </c>
      <c r="D14" s="1" t="s">
        <v>24</v>
      </c>
      <c r="E14" s="1" t="s">
        <v>65</v>
      </c>
      <c r="F14" s="3" t="s">
        <v>8</v>
      </c>
      <c r="G14" s="3">
        <v>8</v>
      </c>
      <c r="H14" s="1" t="s">
        <v>18</v>
      </c>
    </row>
    <row r="15" spans="2:8">
      <c r="B15" s="1" t="s">
        <v>54</v>
      </c>
      <c r="C15" s="1" t="s">
        <v>60</v>
      </c>
      <c r="D15" s="1" t="s">
        <v>25</v>
      </c>
      <c r="E15" s="1" t="s">
        <v>66</v>
      </c>
      <c r="F15" s="3" t="s">
        <v>8</v>
      </c>
      <c r="G15" s="3">
        <v>5</v>
      </c>
      <c r="H15" s="1" t="s">
        <v>24</v>
      </c>
    </row>
    <row r="16" spans="2:8">
      <c r="B16" s="1" t="s">
        <v>54</v>
      </c>
      <c r="C16" s="1" t="s">
        <v>60</v>
      </c>
      <c r="D16" s="1" t="s">
        <v>26</v>
      </c>
      <c r="E16" s="1" t="s">
        <v>67</v>
      </c>
      <c r="F16" s="3" t="s">
        <v>9</v>
      </c>
      <c r="G16" s="3">
        <v>8</v>
      </c>
      <c r="H16" s="1" t="s">
        <v>20</v>
      </c>
    </row>
    <row r="17" spans="2:8">
      <c r="B17" s="1" t="s">
        <v>54</v>
      </c>
      <c r="C17" s="1" t="s">
        <v>60</v>
      </c>
      <c r="D17" s="1" t="s">
        <v>27</v>
      </c>
      <c r="E17" s="1" t="s">
        <v>68</v>
      </c>
      <c r="F17" s="3" t="s">
        <v>9</v>
      </c>
      <c r="G17" s="3">
        <v>5</v>
      </c>
      <c r="H17" s="1" t="s">
        <v>26</v>
      </c>
    </row>
    <row r="19" spans="2:8">
      <c r="B19" s="1" t="s">
        <v>50</v>
      </c>
      <c r="C19" s="1" t="s">
        <v>69</v>
      </c>
      <c r="D19" s="1" t="s">
        <v>70</v>
      </c>
      <c r="E19" s="1" t="s">
        <v>71</v>
      </c>
      <c r="F19" s="3" t="s">
        <v>10</v>
      </c>
    </row>
    <row r="20" spans="2:8">
      <c r="B20" s="1" t="s">
        <v>54</v>
      </c>
      <c r="C20" s="1" t="s">
        <v>69</v>
      </c>
      <c r="D20" s="1" t="s">
        <v>28</v>
      </c>
      <c r="E20" s="1" t="s">
        <v>72</v>
      </c>
      <c r="F20" s="3" t="s">
        <v>10</v>
      </c>
      <c r="G20" s="3">
        <v>8</v>
      </c>
      <c r="H20" s="1" t="s">
        <v>22</v>
      </c>
    </row>
    <row r="21" spans="2:8">
      <c r="B21" s="1" t="s">
        <v>54</v>
      </c>
      <c r="C21" s="1" t="s">
        <v>69</v>
      </c>
      <c r="D21" s="1" t="s">
        <v>29</v>
      </c>
      <c r="E21" s="1" t="s">
        <v>73</v>
      </c>
      <c r="F21" s="3" t="s">
        <v>10</v>
      </c>
      <c r="G21" s="3">
        <v>8</v>
      </c>
      <c r="H21" s="1" t="s">
        <v>23</v>
      </c>
    </row>
    <row r="22" spans="2:8">
      <c r="B22" s="1" t="s">
        <v>54</v>
      </c>
      <c r="C22" s="1" t="s">
        <v>69</v>
      </c>
      <c r="D22" s="1" t="s">
        <v>30</v>
      </c>
      <c r="E22" s="1" t="s">
        <v>74</v>
      </c>
      <c r="F22" s="3" t="s">
        <v>10</v>
      </c>
      <c r="G22" s="3">
        <v>8</v>
      </c>
      <c r="H22" s="1" t="s">
        <v>24</v>
      </c>
    </row>
    <row r="23" spans="2:8">
      <c r="B23" s="1" t="s">
        <v>54</v>
      </c>
      <c r="C23" s="1" t="s">
        <v>69</v>
      </c>
      <c r="D23" s="1" t="s">
        <v>31</v>
      </c>
      <c r="E23" s="1" t="s">
        <v>75</v>
      </c>
      <c r="F23" s="3" t="s">
        <v>10</v>
      </c>
      <c r="G23" s="3">
        <v>6</v>
      </c>
      <c r="H23" s="1" t="s">
        <v>25</v>
      </c>
    </row>
    <row r="25" spans="2:8">
      <c r="B25" s="1" t="s">
        <v>50</v>
      </c>
      <c r="C25" s="1" t="s">
        <v>76</v>
      </c>
      <c r="D25" s="1" t="s">
        <v>77</v>
      </c>
      <c r="E25" s="1" t="s">
        <v>78</v>
      </c>
      <c r="F25" s="3" t="s">
        <v>11</v>
      </c>
    </row>
    <row r="26" spans="2:8">
      <c r="B26" s="1" t="s">
        <v>54</v>
      </c>
      <c r="C26" s="1" t="s">
        <v>76</v>
      </c>
      <c r="D26" s="1" t="s">
        <v>32</v>
      </c>
      <c r="E26" s="1" t="s">
        <v>79</v>
      </c>
      <c r="F26" s="3" t="s">
        <v>11</v>
      </c>
      <c r="G26" s="3">
        <v>3</v>
      </c>
      <c r="H26" s="1" t="s">
        <v>26</v>
      </c>
    </row>
    <row r="27" spans="2:8">
      <c r="B27" s="1" t="s">
        <v>54</v>
      </c>
      <c r="C27" s="1" t="s">
        <v>76</v>
      </c>
      <c r="D27" s="1" t="s">
        <v>80</v>
      </c>
      <c r="E27" s="1" t="s">
        <v>81</v>
      </c>
      <c r="F27" s="3" t="s">
        <v>11</v>
      </c>
      <c r="G27" s="3">
        <v>5</v>
      </c>
      <c r="H27" s="1" t="s">
        <v>32</v>
      </c>
    </row>
    <row r="28" spans="2:8">
      <c r="B28" s="1" t="s">
        <v>54</v>
      </c>
      <c r="C28" s="1" t="s">
        <v>76</v>
      </c>
      <c r="D28" s="1" t="s">
        <v>34</v>
      </c>
      <c r="E28" s="1" t="s">
        <v>82</v>
      </c>
      <c r="F28" s="3" t="s">
        <v>11</v>
      </c>
      <c r="G28" s="3">
        <v>8</v>
      </c>
      <c r="H28" s="1" t="s">
        <v>31</v>
      </c>
    </row>
    <row r="29" spans="2:8">
      <c r="B29" s="1" t="s">
        <v>54</v>
      </c>
      <c r="C29" s="1" t="s">
        <v>76</v>
      </c>
      <c r="D29" s="1" t="s">
        <v>35</v>
      </c>
      <c r="E29" s="1" t="s">
        <v>83</v>
      </c>
      <c r="F29" s="3" t="s">
        <v>11</v>
      </c>
      <c r="G29" s="3">
        <v>5</v>
      </c>
      <c r="H29" s="1" t="s">
        <v>30</v>
      </c>
    </row>
    <row r="30" spans="2:8">
      <c r="B30" s="1" t="s">
        <v>54</v>
      </c>
      <c r="C30" s="1" t="s">
        <v>76</v>
      </c>
      <c r="D30" s="1" t="s">
        <v>36</v>
      </c>
      <c r="E30" s="1" t="s">
        <v>84</v>
      </c>
      <c r="F30" s="3" t="s">
        <v>11</v>
      </c>
      <c r="G30" s="3">
        <v>5</v>
      </c>
      <c r="H30" s="1" t="s">
        <v>27</v>
      </c>
    </row>
    <row r="31" spans="2:8">
      <c r="B31" s="1" t="s">
        <v>54</v>
      </c>
      <c r="C31" s="1" t="s">
        <v>76</v>
      </c>
      <c r="D31" s="1" t="s">
        <v>37</v>
      </c>
      <c r="E31" s="1" t="s">
        <v>85</v>
      </c>
      <c r="F31" s="3" t="s">
        <v>11</v>
      </c>
      <c r="G31" s="3">
        <v>5</v>
      </c>
      <c r="H31" s="1" t="s">
        <v>27</v>
      </c>
    </row>
    <row r="33" spans="2:8">
      <c r="B33" s="1" t="s">
        <v>50</v>
      </c>
      <c r="C33" s="1" t="s">
        <v>86</v>
      </c>
      <c r="D33" s="1" t="s">
        <v>87</v>
      </c>
      <c r="E33" s="1" t="s">
        <v>88</v>
      </c>
      <c r="F33" s="3" t="s">
        <v>12</v>
      </c>
    </row>
    <row r="34" spans="2:8">
      <c r="B34" s="1" t="s">
        <v>54</v>
      </c>
      <c r="C34" s="1" t="s">
        <v>86</v>
      </c>
      <c r="D34" s="1" t="s">
        <v>89</v>
      </c>
      <c r="E34" s="1" t="s">
        <v>90</v>
      </c>
      <c r="F34" s="3" t="s">
        <v>12</v>
      </c>
      <c r="G34" s="3">
        <v>8</v>
      </c>
      <c r="H34" s="1" t="s">
        <v>34</v>
      </c>
    </row>
    <row r="35" spans="2:8">
      <c r="B35" s="1" t="s">
        <v>54</v>
      </c>
      <c r="C35" s="1" t="s">
        <v>86</v>
      </c>
      <c r="D35" s="1" t="s">
        <v>39</v>
      </c>
      <c r="E35" s="1" t="s">
        <v>91</v>
      </c>
      <c r="F35" s="3" t="s">
        <v>12</v>
      </c>
      <c r="G35" s="3">
        <v>8</v>
      </c>
      <c r="H35" s="1" t="s">
        <v>35</v>
      </c>
    </row>
    <row r="36" spans="2:8">
      <c r="B36" s="1" t="s">
        <v>54</v>
      </c>
      <c r="C36" s="1" t="s">
        <v>86</v>
      </c>
      <c r="D36" s="1" t="s">
        <v>40</v>
      </c>
      <c r="E36" s="1" t="s">
        <v>92</v>
      </c>
      <c r="F36" s="3" t="s">
        <v>12</v>
      </c>
      <c r="G36" s="3">
        <v>5</v>
      </c>
      <c r="H36" s="1" t="s">
        <v>34</v>
      </c>
    </row>
    <row r="37" spans="2:8">
      <c r="B37" s="1" t="s">
        <v>54</v>
      </c>
      <c r="C37" s="1" t="s">
        <v>86</v>
      </c>
      <c r="D37" s="1" t="s">
        <v>41</v>
      </c>
      <c r="E37" s="1" t="s">
        <v>93</v>
      </c>
      <c r="F37" s="3" t="s">
        <v>12</v>
      </c>
      <c r="G37" s="3">
        <v>5</v>
      </c>
      <c r="H37" s="1" t="s">
        <v>39</v>
      </c>
    </row>
    <row r="39" spans="2:8">
      <c r="B39" s="1" t="s">
        <v>50</v>
      </c>
      <c r="C39" s="1" t="s">
        <v>94</v>
      </c>
      <c r="D39" s="1" t="s">
        <v>95</v>
      </c>
      <c r="E39" s="1" t="s">
        <v>96</v>
      </c>
      <c r="F39" s="3" t="s">
        <v>12</v>
      </c>
    </row>
    <row r="40" spans="2:8">
      <c r="B40" s="1" t="s">
        <v>54</v>
      </c>
      <c r="C40" s="1" t="s">
        <v>94</v>
      </c>
      <c r="D40" s="1" t="s">
        <v>42</v>
      </c>
      <c r="E40" s="1" t="s">
        <v>97</v>
      </c>
      <c r="F40" s="3" t="s">
        <v>12</v>
      </c>
      <c r="G40" s="3">
        <v>5</v>
      </c>
      <c r="H40" s="1" t="s">
        <v>89</v>
      </c>
    </row>
    <row r="41" spans="2:8">
      <c r="B41" s="1" t="s">
        <v>54</v>
      </c>
      <c r="C41" s="1" t="s">
        <v>94</v>
      </c>
      <c r="D41" s="1" t="s">
        <v>175</v>
      </c>
      <c r="E41" s="1" t="s">
        <v>98</v>
      </c>
      <c r="F41" s="3" t="s">
        <v>12</v>
      </c>
      <c r="G41" s="3">
        <v>3</v>
      </c>
      <c r="H41" s="1" t="s">
        <v>28</v>
      </c>
    </row>
    <row r="42" spans="2:8">
      <c r="B42" s="1" t="s">
        <v>54</v>
      </c>
      <c r="C42" s="1" t="s">
        <v>94</v>
      </c>
      <c r="D42" s="1" t="s">
        <v>44</v>
      </c>
      <c r="E42" s="1" t="s">
        <v>99</v>
      </c>
      <c r="F42" s="3" t="s">
        <v>12</v>
      </c>
      <c r="G42" s="3">
        <v>3</v>
      </c>
      <c r="H4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76C8-9DEA-45DC-BF72-38F4E2BC3EFE}">
  <dimension ref="A4:I40"/>
  <sheetViews>
    <sheetView workbookViewId="0">
      <selection activeCell="F14" sqref="F14"/>
    </sheetView>
  </sheetViews>
  <sheetFormatPr defaultColWidth="8.85546875" defaultRowHeight="14.45"/>
  <cols>
    <col min="1" max="1" width="8.85546875" style="1"/>
    <col min="2" max="2" width="9.28515625" style="3" customWidth="1"/>
    <col min="3" max="3" width="11.5703125" style="1" bestFit="1" customWidth="1"/>
    <col min="4" max="4" width="13.7109375" style="3" customWidth="1"/>
    <col min="5" max="5" width="29.7109375" style="1" bestFit="1" customWidth="1"/>
    <col min="6" max="6" width="83.28515625" style="1" customWidth="1"/>
    <col min="7" max="7" width="19.140625" style="3" bestFit="1" customWidth="1"/>
    <col min="8" max="8" width="55.7109375" style="1" bestFit="1" customWidth="1"/>
    <col min="9" max="9" width="67.7109375" style="1" bestFit="1" customWidth="1"/>
    <col min="10" max="16384" width="8.85546875" style="1"/>
  </cols>
  <sheetData>
    <row r="4" spans="1:9" ht="21">
      <c r="B4" s="2" t="s">
        <v>176</v>
      </c>
    </row>
    <row r="8" spans="1:9" s="4" customFormat="1">
      <c r="B8" s="5" t="s">
        <v>0</v>
      </c>
      <c r="C8" s="6" t="s">
        <v>1</v>
      </c>
      <c r="D8" s="5" t="s">
        <v>177</v>
      </c>
      <c r="E8" s="5" t="s">
        <v>101</v>
      </c>
      <c r="F8" s="5" t="s">
        <v>48</v>
      </c>
      <c r="G8" s="5" t="s">
        <v>178</v>
      </c>
      <c r="H8" s="5" t="s">
        <v>179</v>
      </c>
      <c r="I8" s="5" t="s">
        <v>180</v>
      </c>
    </row>
    <row r="9" spans="1:9">
      <c r="A9" s="1">
        <v>4259</v>
      </c>
      <c r="B9" s="3">
        <v>1.1000000000000001</v>
      </c>
      <c r="C9" s="7" t="s">
        <v>104</v>
      </c>
      <c r="D9" s="3" t="s">
        <v>181</v>
      </c>
      <c r="E9" s="1" t="s">
        <v>182</v>
      </c>
      <c r="F9" s="1" t="s">
        <v>183</v>
      </c>
      <c r="G9" s="3" t="s">
        <v>184</v>
      </c>
      <c r="H9" s="1" t="s">
        <v>185</v>
      </c>
    </row>
    <row r="10" spans="1:9">
      <c r="B10" s="3">
        <v>1.2</v>
      </c>
      <c r="C10" s="8" t="s">
        <v>104</v>
      </c>
      <c r="D10" s="9" t="s">
        <v>103</v>
      </c>
      <c r="E10" s="10" t="s">
        <v>107</v>
      </c>
      <c r="F10" s="10" t="s">
        <v>186</v>
      </c>
      <c r="G10" s="9" t="s">
        <v>187</v>
      </c>
      <c r="H10" s="10" t="s">
        <v>108</v>
      </c>
    </row>
    <row r="11" spans="1:9" ht="28.9">
      <c r="A11" s="1">
        <v>4194</v>
      </c>
      <c r="B11" s="3">
        <v>1.3</v>
      </c>
      <c r="C11" s="7" t="s">
        <v>104</v>
      </c>
      <c r="D11" s="3" t="s">
        <v>181</v>
      </c>
      <c r="E11" s="1" t="s">
        <v>188</v>
      </c>
      <c r="F11" s="1" t="s">
        <v>189</v>
      </c>
      <c r="G11" s="3" t="s">
        <v>187</v>
      </c>
      <c r="H11" s="1" t="s">
        <v>190</v>
      </c>
      <c r="I11" s="11" t="s">
        <v>191</v>
      </c>
    </row>
    <row r="12" spans="1:9">
      <c r="A12" s="1">
        <v>4253</v>
      </c>
      <c r="B12" s="3">
        <v>1.4</v>
      </c>
      <c r="C12" s="7" t="s">
        <v>104</v>
      </c>
      <c r="D12" s="3" t="s">
        <v>181</v>
      </c>
      <c r="E12" s="1" t="s">
        <v>192</v>
      </c>
      <c r="F12" s="1" t="s">
        <v>193</v>
      </c>
      <c r="G12" s="3" t="s">
        <v>194</v>
      </c>
      <c r="H12" s="1" t="s">
        <v>195</v>
      </c>
      <c r="I12" s="1" t="s">
        <v>196</v>
      </c>
    </row>
    <row r="13" spans="1:9">
      <c r="A13" s="1" t="s">
        <v>197</v>
      </c>
      <c r="B13" s="3">
        <v>1.5</v>
      </c>
      <c r="C13" s="7" t="s">
        <v>104</v>
      </c>
      <c r="D13" s="3" t="s">
        <v>181</v>
      </c>
      <c r="E13" s="1" t="s">
        <v>198</v>
      </c>
      <c r="F13" s="1" t="s">
        <v>199</v>
      </c>
      <c r="G13" s="3" t="s">
        <v>200</v>
      </c>
      <c r="H13" s="1" t="s">
        <v>201</v>
      </c>
    </row>
    <row r="14" spans="1:9">
      <c r="A14" s="1">
        <v>4252</v>
      </c>
      <c r="B14" s="3">
        <v>1.6</v>
      </c>
      <c r="C14" s="7" t="s">
        <v>104</v>
      </c>
      <c r="D14" s="3" t="s">
        <v>181</v>
      </c>
      <c r="E14" s="10" t="s">
        <v>202</v>
      </c>
      <c r="F14" s="10" t="s">
        <v>203</v>
      </c>
      <c r="G14" s="9"/>
      <c r="H14" s="10"/>
      <c r="I14" s="10"/>
    </row>
    <row r="15" spans="1:9">
      <c r="A15" s="1">
        <v>4251</v>
      </c>
      <c r="B15" s="3">
        <v>1.7</v>
      </c>
      <c r="C15" s="7" t="s">
        <v>104</v>
      </c>
      <c r="D15" s="3" t="s">
        <v>181</v>
      </c>
      <c r="E15" s="10" t="s">
        <v>204</v>
      </c>
      <c r="F15" s="10" t="s">
        <v>205</v>
      </c>
      <c r="G15" s="9"/>
      <c r="H15" s="10"/>
      <c r="I15" s="10"/>
    </row>
    <row r="16" spans="1:9">
      <c r="B16" s="3">
        <v>2.1</v>
      </c>
      <c r="C16" s="7" t="s">
        <v>116</v>
      </c>
      <c r="D16" s="3" t="s">
        <v>206</v>
      </c>
      <c r="E16" s="1" t="s">
        <v>207</v>
      </c>
      <c r="F16" s="1" t="s">
        <v>208</v>
      </c>
      <c r="G16" s="3" t="s">
        <v>187</v>
      </c>
      <c r="H16" s="1" t="s">
        <v>209</v>
      </c>
    </row>
    <row r="17" spans="2:9">
      <c r="B17" s="3">
        <v>2.2000000000000002</v>
      </c>
      <c r="C17" s="7" t="s">
        <v>116</v>
      </c>
      <c r="D17" s="3" t="s">
        <v>206</v>
      </c>
      <c r="E17" s="1" t="s">
        <v>210</v>
      </c>
      <c r="F17" s="1" t="s">
        <v>211</v>
      </c>
      <c r="G17" s="3" t="s">
        <v>187</v>
      </c>
      <c r="H17" s="1" t="s">
        <v>212</v>
      </c>
    </row>
    <row r="18" spans="2:9">
      <c r="B18" s="3">
        <v>2.2999999999999998</v>
      </c>
      <c r="C18" s="7" t="s">
        <v>116</v>
      </c>
      <c r="D18" s="3" t="s">
        <v>206</v>
      </c>
      <c r="E18" s="1" t="s">
        <v>213</v>
      </c>
      <c r="F18" s="1" t="s">
        <v>214</v>
      </c>
      <c r="G18" s="3" t="s">
        <v>215</v>
      </c>
      <c r="H18" s="1" t="s">
        <v>216</v>
      </c>
    </row>
    <row r="19" spans="2:9">
      <c r="B19" s="3">
        <v>2.4</v>
      </c>
      <c r="C19" s="7" t="s">
        <v>116</v>
      </c>
      <c r="D19" s="3" t="s">
        <v>206</v>
      </c>
      <c r="E19" s="1" t="s">
        <v>217</v>
      </c>
      <c r="F19" s="1" t="s">
        <v>66</v>
      </c>
      <c r="G19" s="3" t="s">
        <v>200</v>
      </c>
      <c r="H19" s="1" t="s">
        <v>218</v>
      </c>
    </row>
    <row r="20" spans="2:9">
      <c r="B20" s="9">
        <v>2.5</v>
      </c>
      <c r="C20" s="8" t="s">
        <v>116</v>
      </c>
      <c r="D20" s="9" t="s">
        <v>113</v>
      </c>
      <c r="E20" s="10" t="s">
        <v>219</v>
      </c>
      <c r="F20" s="10" t="s">
        <v>220</v>
      </c>
      <c r="G20" s="9" t="s">
        <v>221</v>
      </c>
      <c r="H20" s="10" t="s">
        <v>222</v>
      </c>
      <c r="I20" s="10"/>
    </row>
    <row r="21" spans="2:9">
      <c r="B21" s="3">
        <v>2.6</v>
      </c>
      <c r="C21" s="7" t="s">
        <v>116</v>
      </c>
      <c r="D21" s="9" t="s">
        <v>113</v>
      </c>
      <c r="E21" s="10" t="s">
        <v>223</v>
      </c>
      <c r="F21" s="10" t="s">
        <v>224</v>
      </c>
      <c r="G21" s="9" t="s">
        <v>215</v>
      </c>
      <c r="H21" s="10" t="s">
        <v>225</v>
      </c>
      <c r="I21" s="10"/>
    </row>
    <row r="22" spans="2:9">
      <c r="B22" s="3">
        <v>2.7</v>
      </c>
      <c r="C22" s="7" t="s">
        <v>116</v>
      </c>
      <c r="D22" s="3" t="s">
        <v>226</v>
      </c>
      <c r="E22" s="1" t="s">
        <v>227</v>
      </c>
      <c r="F22" s="1" t="s">
        <v>228</v>
      </c>
      <c r="G22" s="3" t="s">
        <v>200</v>
      </c>
      <c r="H22" s="1" t="s">
        <v>229</v>
      </c>
      <c r="I22" s="1" t="s">
        <v>230</v>
      </c>
    </row>
    <row r="23" spans="2:9">
      <c r="B23" s="9">
        <v>2.8</v>
      </c>
      <c r="C23" s="8" t="s">
        <v>116</v>
      </c>
      <c r="D23" s="3" t="s">
        <v>226</v>
      </c>
      <c r="E23" s="1" t="s">
        <v>124</v>
      </c>
      <c r="F23" s="1" t="s">
        <v>68</v>
      </c>
      <c r="G23" s="3" t="s">
        <v>231</v>
      </c>
      <c r="H23" s="1" t="s">
        <v>232</v>
      </c>
    </row>
    <row r="24" spans="2:9">
      <c r="B24" s="3">
        <v>3.1</v>
      </c>
      <c r="C24" s="7" t="s">
        <v>233</v>
      </c>
      <c r="D24" s="3" t="s">
        <v>234</v>
      </c>
      <c r="E24" s="1" t="s">
        <v>128</v>
      </c>
      <c r="F24" s="1" t="s">
        <v>235</v>
      </c>
      <c r="G24" s="3" t="s">
        <v>221</v>
      </c>
      <c r="H24" s="1" t="s">
        <v>236</v>
      </c>
    </row>
    <row r="25" spans="2:9">
      <c r="B25" s="3">
        <v>3.2</v>
      </c>
      <c r="C25" s="7" t="s">
        <v>233</v>
      </c>
      <c r="D25" s="3" t="s">
        <v>234</v>
      </c>
      <c r="E25" s="1" t="s">
        <v>237</v>
      </c>
      <c r="F25" s="1" t="s">
        <v>238</v>
      </c>
      <c r="G25" s="3" t="s">
        <v>221</v>
      </c>
      <c r="H25" s="1" t="s">
        <v>239</v>
      </c>
    </row>
    <row r="26" spans="2:9">
      <c r="B26" s="3">
        <v>3.3</v>
      </c>
      <c r="C26" s="7" t="s">
        <v>233</v>
      </c>
      <c r="D26" s="3" t="s">
        <v>234</v>
      </c>
      <c r="E26" s="1" t="s">
        <v>240</v>
      </c>
      <c r="F26" s="1" t="s">
        <v>241</v>
      </c>
      <c r="G26" s="3" t="s">
        <v>221</v>
      </c>
      <c r="H26" s="1" t="s">
        <v>242</v>
      </c>
    </row>
    <row r="27" spans="2:9">
      <c r="B27" s="3">
        <v>3.4</v>
      </c>
      <c r="C27" s="7" t="s">
        <v>233</v>
      </c>
      <c r="D27" s="3" t="s">
        <v>234</v>
      </c>
      <c r="E27" s="1" t="s">
        <v>243</v>
      </c>
      <c r="F27" s="1" t="s">
        <v>244</v>
      </c>
      <c r="G27" s="3" t="s">
        <v>245</v>
      </c>
      <c r="H27" s="1" t="s">
        <v>246</v>
      </c>
    </row>
    <row r="28" spans="2:9">
      <c r="B28" s="3">
        <v>4.0999999999999996</v>
      </c>
      <c r="C28" s="7" t="s">
        <v>247</v>
      </c>
      <c r="D28" s="3" t="s">
        <v>248</v>
      </c>
      <c r="E28" s="1" t="s">
        <v>249</v>
      </c>
      <c r="F28" s="1" t="s">
        <v>79</v>
      </c>
      <c r="G28" s="3" t="s">
        <v>245</v>
      </c>
      <c r="H28" s="1" t="s">
        <v>250</v>
      </c>
    </row>
    <row r="29" spans="2:9">
      <c r="B29" s="3">
        <v>4.2</v>
      </c>
      <c r="C29" s="7" t="s">
        <v>247</v>
      </c>
      <c r="D29" s="3" t="s">
        <v>248</v>
      </c>
      <c r="E29" s="1" t="s">
        <v>251</v>
      </c>
      <c r="F29" s="1" t="s">
        <v>252</v>
      </c>
      <c r="G29" s="3" t="s">
        <v>245</v>
      </c>
      <c r="H29" s="1" t="s">
        <v>253</v>
      </c>
    </row>
    <row r="30" spans="2:9">
      <c r="B30" s="3">
        <v>4.3</v>
      </c>
      <c r="C30" s="7" t="s">
        <v>247</v>
      </c>
      <c r="D30" s="3" t="s">
        <v>248</v>
      </c>
      <c r="E30" s="1" t="s">
        <v>140</v>
      </c>
      <c r="F30" s="1" t="s">
        <v>254</v>
      </c>
      <c r="G30" s="3" t="s">
        <v>245</v>
      </c>
      <c r="H30" s="1" t="s">
        <v>255</v>
      </c>
    </row>
    <row r="31" spans="2:9">
      <c r="B31" s="3">
        <v>4.4000000000000004</v>
      </c>
      <c r="C31" s="7" t="s">
        <v>247</v>
      </c>
      <c r="D31" s="3" t="s">
        <v>248</v>
      </c>
      <c r="E31" s="1" t="s">
        <v>256</v>
      </c>
      <c r="F31" s="1" t="s">
        <v>257</v>
      </c>
      <c r="G31" s="3" t="s">
        <v>258</v>
      </c>
      <c r="H31" s="1" t="s">
        <v>259</v>
      </c>
    </row>
    <row r="32" spans="2:9">
      <c r="B32" s="3">
        <v>4.5</v>
      </c>
      <c r="C32" s="7" t="s">
        <v>247</v>
      </c>
      <c r="D32" s="3" t="s">
        <v>248</v>
      </c>
      <c r="E32" s="1" t="s">
        <v>260</v>
      </c>
      <c r="F32" s="1" t="s">
        <v>261</v>
      </c>
      <c r="G32" s="3" t="s">
        <v>262</v>
      </c>
      <c r="H32" s="1" t="s">
        <v>263</v>
      </c>
    </row>
    <row r="33" spans="2:8">
      <c r="B33" s="3">
        <v>4.5999999999999996</v>
      </c>
      <c r="C33" s="7" t="s">
        <v>247</v>
      </c>
      <c r="D33" s="3" t="s">
        <v>248</v>
      </c>
      <c r="E33" s="1" t="s">
        <v>264</v>
      </c>
      <c r="F33" s="1" t="s">
        <v>265</v>
      </c>
      <c r="G33" s="3" t="s">
        <v>258</v>
      </c>
      <c r="H33" s="1" t="s">
        <v>266</v>
      </c>
    </row>
    <row r="34" spans="2:8">
      <c r="B34" s="3">
        <v>5.0999999999999996</v>
      </c>
      <c r="C34" s="7" t="s">
        <v>145</v>
      </c>
      <c r="D34" s="3" t="s">
        <v>267</v>
      </c>
      <c r="E34" s="1" t="s">
        <v>146</v>
      </c>
      <c r="F34" s="1" t="s">
        <v>90</v>
      </c>
      <c r="G34" s="3" t="s">
        <v>268</v>
      </c>
      <c r="H34" s="1" t="s">
        <v>269</v>
      </c>
    </row>
    <row r="35" spans="2:8">
      <c r="B35" s="3">
        <v>5.2</v>
      </c>
      <c r="C35" s="7" t="s">
        <v>145</v>
      </c>
      <c r="D35" s="3" t="s">
        <v>267</v>
      </c>
      <c r="E35" s="1" t="s">
        <v>148</v>
      </c>
      <c r="F35" s="1" t="s">
        <v>270</v>
      </c>
      <c r="G35" s="3" t="s">
        <v>268</v>
      </c>
      <c r="H35" s="1" t="s">
        <v>271</v>
      </c>
    </row>
    <row r="36" spans="2:8">
      <c r="B36" s="3">
        <v>5.3</v>
      </c>
      <c r="C36" s="7" t="s">
        <v>145</v>
      </c>
      <c r="D36" s="3" t="s">
        <v>267</v>
      </c>
      <c r="E36" s="1" t="s">
        <v>150</v>
      </c>
      <c r="F36" s="1" t="s">
        <v>92</v>
      </c>
      <c r="G36" s="3" t="s">
        <v>268</v>
      </c>
      <c r="H36" s="1" t="s">
        <v>272</v>
      </c>
    </row>
    <row r="37" spans="2:8">
      <c r="B37" s="3">
        <v>5.4</v>
      </c>
      <c r="C37" s="7" t="s">
        <v>145</v>
      </c>
      <c r="D37" s="3" t="s">
        <v>267</v>
      </c>
      <c r="E37" s="1" t="s">
        <v>273</v>
      </c>
      <c r="F37" s="1" t="s">
        <v>274</v>
      </c>
      <c r="G37" s="3" t="s">
        <v>221</v>
      </c>
      <c r="H37" s="1" t="s">
        <v>275</v>
      </c>
    </row>
    <row r="38" spans="2:8">
      <c r="B38" s="3">
        <v>6.1</v>
      </c>
      <c r="C38" s="7" t="s">
        <v>154</v>
      </c>
      <c r="D38" s="3" t="s">
        <v>267</v>
      </c>
      <c r="E38" s="1" t="s">
        <v>155</v>
      </c>
      <c r="F38" s="1" t="s">
        <v>276</v>
      </c>
      <c r="G38" s="3" t="s">
        <v>277</v>
      </c>
      <c r="H38" s="1" t="s">
        <v>278</v>
      </c>
    </row>
    <row r="39" spans="2:8">
      <c r="B39" s="3">
        <v>6.2</v>
      </c>
      <c r="C39" s="7" t="s">
        <v>154</v>
      </c>
      <c r="D39" s="3" t="s">
        <v>267</v>
      </c>
      <c r="E39" s="1" t="s">
        <v>279</v>
      </c>
      <c r="F39" s="1" t="s">
        <v>280</v>
      </c>
      <c r="G39" s="3" t="s">
        <v>281</v>
      </c>
      <c r="H39" s="1" t="s">
        <v>282</v>
      </c>
    </row>
    <row r="40" spans="2:8">
      <c r="B40" s="3">
        <v>6.3</v>
      </c>
      <c r="C40" s="7" t="s">
        <v>154</v>
      </c>
      <c r="D40" s="3" t="s">
        <v>267</v>
      </c>
      <c r="E40" s="1" t="s">
        <v>159</v>
      </c>
      <c r="F40" s="1" t="s">
        <v>283</v>
      </c>
      <c r="G40" s="3" t="s">
        <v>184</v>
      </c>
      <c r="H40" s="1" t="s">
        <v>284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818772A6732242AF909C7289977039" ma:contentTypeVersion="45" ma:contentTypeDescription="Create a new document." ma:contentTypeScope="" ma:versionID="9c00a469ed9e9b1fe3554466dd86da18">
  <xsd:schema xmlns:xsd="http://www.w3.org/2001/XMLSchema" xmlns:xs="http://www.w3.org/2001/XMLSchema" xmlns:p="http://schemas.microsoft.com/office/2006/metadata/properties" xmlns:ns1="http://schemas.microsoft.com/sharepoint/v3" xmlns:ns2="bf8d9fdf-4125-4b9e-90cc-178121cbf199" xmlns:ns3="0f99ac47-5234-4717-87da-95168002162c" xmlns:ns4="f76aaf80-9812-406c-9dd3-ccb851cf3a75" targetNamespace="http://schemas.microsoft.com/office/2006/metadata/properties" ma:root="true" ma:fieldsID="0d8f5ab727154322f3bdb7e17e977602" ns1:_="" ns2:_="" ns3:_="" ns4:_="">
    <xsd:import namespace="http://schemas.microsoft.com/sharepoint/v3"/>
    <xsd:import namespace="bf8d9fdf-4125-4b9e-90cc-178121cbf199"/>
    <xsd:import namespace="0f99ac47-5234-4717-87da-95168002162c"/>
    <xsd:import namespace="f76aaf80-9812-406c-9dd3-ccb851cf3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ey_x0020_Document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4:Email_x005f_x0020_To" minOccurs="0"/>
                <xsd:element ref="ns4:Email_x005f_x0020_From" minOccurs="0"/>
                <xsd:element ref="ns4:Email_x005f_x0020_Subject" minOccurs="0"/>
                <xsd:element ref="ns4:Email_x005f_x0020_Conversation_x005f_x0020_Topic" minOccurs="0"/>
                <xsd:element ref="ns4:Email_x005f_x0020_CC" minOccurs="0"/>
                <xsd:element ref="ns4:Email_x005f_x0020_Date" minOccurs="0"/>
                <xsd:element ref="ns4:Email_x005f_x0020_Attachments" minOccurs="0"/>
                <xsd:element ref="ns3:_dlc_DocId" minOccurs="0"/>
                <xsd:element ref="ns3:_dlc_DocIdUrl" minOccurs="0"/>
                <xsd:element ref="ns3:_dlc_DocIdPersistId" minOccurs="0"/>
                <xsd:element ref="ns2:Identifier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Client" minOccurs="0"/>
                <xsd:element ref="ns2:ProjectCode" minOccurs="0"/>
                <xsd:element ref="ns2:f948ccc9f2a64ecc8f6d7c6a9aa0e77b" minOccurs="0"/>
                <xsd:element ref="ns2:g3a39279023244e8b5c903eccdb480b8" minOccurs="0"/>
                <xsd:element ref="ns2:pf52c7dd836243f59156539d84d65142" minOccurs="0"/>
                <xsd:element ref="ns2:Document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d9fdf-4125-4b9e-90cc-178121cbf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Key_x0020_Document" ma:index="16" nillable="true" ma:displayName="Key Document" ma:default="0" ma:indexed="true" ma:internalName="Key_x0020_Document">
      <xsd:simpleType>
        <xsd:restriction base="dms:Boolean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fa6f064-5af2-4239-ab23-685642d595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dentifier" ma:index="36" nillable="true" ma:displayName="Identifier" ma:description="used for amazon Kendra search prototype " ma:format="Dropdown" ma:internalName="Identifier">
      <xsd:simpleType>
        <xsd:restriction base="dms:Text">
          <xsd:maxLength value="255"/>
        </xsd:restriction>
      </xsd:simple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9" nillable="true" ma:displayName="Sign-off status" ma:internalName="Sign_x002d_off_x0020_status">
      <xsd:simpleType>
        <xsd:restriction base="dms:Text"/>
      </xsd:simpleType>
    </xsd:element>
    <xsd:element name="Client" ma:index="40" nillable="true" ma:displayName="Client" ma:description="project partner or lead collaborative department with the AI CoE" ma:format="Dropdown" ma:internalName="Client">
      <xsd:simpleType>
        <xsd:restriction base="dms:Text">
          <xsd:maxLength value="255"/>
        </xsd:restriction>
      </xsd:simpleType>
    </xsd:element>
    <xsd:element name="ProjectCode" ma:index="41" nillable="true" ma:displayName="Project Code" ma:default="EXJD" ma:description="internal project code for the AI CoE" ma:format="Dropdown" ma:internalName="ProjectCode">
      <xsd:simpleType>
        <xsd:restriction base="dms:Text">
          <xsd:maxLength value="255"/>
        </xsd:restriction>
      </xsd:simpleType>
    </xsd:element>
    <xsd:element name="f948ccc9f2a64ecc8f6d7c6a9aa0e77b" ma:index="43" nillable="true" ma:taxonomy="true" ma:internalName="f948ccc9f2a64ecc8f6d7c6a9aa0e77b" ma:taxonomyFieldName="Classification" ma:displayName="Classification" ma:default="" ma:fieldId="{f948ccc9-f2a6-4ecc-8f6d-7c6a9aa0e77b}" ma:sspId="3fa6f064-5af2-4239-ab23-685642d59544" ma:termSetId="6d177cc0-6e1b-456e-9cd6-ade2fe3dc42e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g3a39279023244e8b5c903eccdb480b8" ma:index="45" nillable="true" ma:taxonomy="true" ma:internalName="g3a39279023244e8b5c903eccdb480b8" ma:taxonomyFieldName="language" ma:displayName="language" ma:default="" ma:fieldId="{03a39279-0232-44e8-b5c9-03eccdb480b8}" ma:taxonomyMulti="true" ma:sspId="3fa6f064-5af2-4239-ab23-685642d59544" ma:termSetId="e70dba58-f37b-4c33-84f8-2b143c3f2b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f52c7dd836243f59156539d84d65142" ma:index="47" nillable="true" ma:taxonomy="true" ma:internalName="pf52c7dd836243f59156539d84d65142" ma:taxonomyFieldName="Information_x0020_Resource" ma:displayName="Information Resource" ma:default="" ma:fieldId="{9f52c7dd-8362-43f5-9156-539d84d65142}" ma:sspId="3fa6f064-5af2-4239-ab23-685642d59544" ma:termSetId="0ca0bb0a-5e57-4c25-a1bd-a48a6083fb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Type" ma:index="48" nillable="true" ma:displayName="Document Type" ma:format="Dropdown" ma:internalName="DocumentTyp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9ac47-5234-4717-87da-95168002162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3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aaf80-9812-406c-9dd3-ccb851cf3a75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1070d02-53eb-4caa-9998-1bb73898e0dd}" ma:internalName="TaxCatchAll" ma:showField="CatchAllData" ma:web="0f99ac47-5234-4717-87da-9516800216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mail_x005f_x0020_To" ma:index="26" nillable="true" ma:displayName="Email To" ma:description="Email To" ma:hidden="true" ma:internalName="Email_x0020_To" ma:readOnly="false">
      <xsd:simpleType>
        <xsd:restriction base="dms:Text">
          <xsd:maxLength value="255"/>
        </xsd:restriction>
      </xsd:simpleType>
    </xsd:element>
    <xsd:element name="Email_x005f_x0020_From" ma:index="27" nillable="true" ma:displayName="Email From" ma:description="Email From" ma:hidden="true" ma:internalName="Email_x0020_From" ma:readOnly="false">
      <xsd:simpleType>
        <xsd:restriction base="dms:Text">
          <xsd:maxLength value="255"/>
        </xsd:restriction>
      </xsd:simpleType>
    </xsd:element>
    <xsd:element name="Email_x005f_x0020_Subject" ma:index="28" nillable="true" ma:displayName="Email Subject" ma:description="Email Subject" ma:hidden="true" ma:internalName="Email_x0020_Subject" ma:readOnly="false">
      <xsd:simpleType>
        <xsd:restriction base="dms:Text">
          <xsd:maxLength value="255"/>
        </xsd:restriction>
      </xsd:simpleType>
    </xsd:element>
    <xsd:element name="Email_x005f_x0020_Conversation_x005f_x0020_Topic" ma:index="29" nillable="true" ma:displayName="Email Conversation Topic" ma:description="Email Conversation Topic" ma:hidden="true" ma:internalName="Email_x0020_Conversation_x0020_Topic" ma:readOnly="false">
      <xsd:simpleType>
        <xsd:restriction base="dms:Text">
          <xsd:maxLength value="255"/>
        </xsd:restriction>
      </xsd:simpleType>
    </xsd:element>
    <xsd:element name="Email_x005f_x0020_CC" ma:index="30" nillable="true" ma:displayName="Email CC" ma:description="Email CC" ma:hidden="true" ma:internalName="Email_x0020_CC" ma:readOnly="false">
      <xsd:simpleType>
        <xsd:restriction base="dms:Text">
          <xsd:maxLength value="255"/>
        </xsd:restriction>
      </xsd:simpleType>
    </xsd:element>
    <xsd:element name="Email_x005f_x0020_Date" ma:index="31" nillable="true" ma:displayName="Email Date" ma:description="Email Date" ma:format="DateOnly" ma:hidden="true" ma:internalName="Email_x0020_Date" ma:readOnly="false">
      <xsd:simpleType>
        <xsd:restriction base="dms:DateTime"/>
      </xsd:simpleType>
    </xsd:element>
    <xsd:element name="Email_x005f_x0020_Attachments" ma:index="32" nillable="true" ma:displayName="Email Attachments" ma:description="Email Attachments" ma:hidden="true" ma:internalName="Email_x0020_Attachments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_x0020_Document xmlns="bf8d9fdf-4125-4b9e-90cc-178121cbf199">false</Key_x0020_Document>
    <_dlc_DocId xmlns="0f99ac47-5234-4717-87da-95168002162c">TWDX2CXSTY3E-1481338289-9834</_dlc_DocId>
    <_dlc_DocIdUrl xmlns="0f99ac47-5234-4717-87da-95168002162c">
      <Url>https://014gc.sharepoint.com/sites/AICoE/_layouts/15/DocIdRedir.aspx?ID=TWDX2CXSTY3E-1481338289-9834</Url>
      <Description>TWDX2CXSTY3E-1481338289-9834</Description>
    </_dlc_DocIdUrl>
    <ProjectCode xmlns="bf8d9fdf-4125-4b9e-90cc-178121cbf199">EXJD</ProjectCode>
    <Email_x005f_x0020_Date xmlns="f76aaf80-9812-406c-9dd3-ccb851cf3a75" xsi:nil="true"/>
    <_ip_UnifiedCompliancePolicyUIAction xmlns="http://schemas.microsoft.com/sharepoint/v3" xsi:nil="true"/>
    <Email_x005f_x0020_Attachments xmlns="f76aaf80-9812-406c-9dd3-ccb851cf3a75" xsi:nil="true"/>
    <_Flow_SignoffStatus xmlns="bf8d9fdf-4125-4b9e-90cc-178121cbf199" xsi:nil="true"/>
    <g3a39279023244e8b5c903eccdb480b8 xmlns="bf8d9fdf-4125-4b9e-90cc-178121cbf199">
      <Terms xmlns="http://schemas.microsoft.com/office/infopath/2007/PartnerControls"/>
    </g3a39279023244e8b5c903eccdb480b8>
    <Client xmlns="bf8d9fdf-4125-4b9e-90cc-178121cbf199" xsi:nil="true"/>
    <DocumentType xmlns="bf8d9fdf-4125-4b9e-90cc-178121cbf199" xsi:nil="true"/>
    <Email_x005f_x0020_From xmlns="f76aaf80-9812-406c-9dd3-ccb851cf3a75" xsi:nil="true"/>
    <_ip_UnifiedCompliancePolicyProperties xmlns="http://schemas.microsoft.com/sharepoint/v3" xsi:nil="true"/>
    <Email_x005f_x0020_To xmlns="f76aaf80-9812-406c-9dd3-ccb851cf3a75" xsi:nil="true"/>
    <Email_x005f_x0020_Subject xmlns="f76aaf80-9812-406c-9dd3-ccb851cf3a75" xsi:nil="true"/>
    <Email_x005f_x0020_Conversation_x005f_x0020_Topic xmlns="f76aaf80-9812-406c-9dd3-ccb851cf3a75" xsi:nil="true"/>
    <Email_x005f_x0020_CC xmlns="f76aaf80-9812-406c-9dd3-ccb851cf3a75" xsi:nil="true"/>
    <pf52c7dd836243f59156539d84d65142 xmlns="bf8d9fdf-4125-4b9e-90cc-178121cbf199">
      <Terms xmlns="http://schemas.microsoft.com/office/infopath/2007/PartnerControls"/>
    </pf52c7dd836243f59156539d84d65142>
    <TaxCatchAll xmlns="f76aaf80-9812-406c-9dd3-ccb851cf3a75" xsi:nil="true"/>
    <lcf76f155ced4ddcb4097134ff3c332f xmlns="bf8d9fdf-4125-4b9e-90cc-178121cbf199">
      <Terms xmlns="http://schemas.microsoft.com/office/infopath/2007/PartnerControls"/>
    </lcf76f155ced4ddcb4097134ff3c332f>
    <Identifier xmlns="bf8d9fdf-4125-4b9e-90cc-178121cbf199" xsi:nil="true"/>
    <f948ccc9f2a64ecc8f6d7c6a9aa0e77b xmlns="bf8d9fdf-4125-4b9e-90cc-178121cbf199">
      <Terms xmlns="http://schemas.microsoft.com/office/infopath/2007/PartnerControls"/>
    </f948ccc9f2a64ecc8f6d7c6a9aa0e77b>
  </documentManagement>
</p:properties>
</file>

<file path=customXml/itemProps1.xml><?xml version="1.0" encoding="utf-8"?>
<ds:datastoreItem xmlns:ds="http://schemas.openxmlformats.org/officeDocument/2006/customXml" ds:itemID="{404241D4-D15F-4345-ADA2-7C417C1CF4CE}"/>
</file>

<file path=customXml/itemProps2.xml><?xml version="1.0" encoding="utf-8"?>
<ds:datastoreItem xmlns:ds="http://schemas.openxmlformats.org/officeDocument/2006/customXml" ds:itemID="{86664517-FC25-4A27-80DA-B1CCA9EBA630}"/>
</file>

<file path=customXml/itemProps3.xml><?xml version="1.0" encoding="utf-8"?>
<ds:datastoreItem xmlns:ds="http://schemas.openxmlformats.org/officeDocument/2006/customXml" ds:itemID="{BA75DAC1-B720-4E97-8525-A1ADA673E05A}"/>
</file>

<file path=customXml/itemProps4.xml><?xml version="1.0" encoding="utf-8"?>
<ds:datastoreItem xmlns:ds="http://schemas.openxmlformats.org/officeDocument/2006/customXml" ds:itemID="{75B9DB31-0CF5-440E-B5EC-2056F9A8BA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2026-01-24T21:53:22Z</dcterms:created>
  <dcterms:modified xsi:type="dcterms:W3CDTF">2026-01-24T22:00:52Z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0x010100D5818772A6732242AF909C7289977039</vt:lpwstr>
  </property>
  <property fmtid="{D5CDD505-2E9C-101B-9397-08002B2CF9AE}" pid="3" name="_dlc_DocIdItemGuid">
    <vt:lpwstr>534a4738-2189-44f0-8ae3-9d854873bba4</vt:lpwstr>
  </property>
  <property fmtid="{D5CDD505-2E9C-101B-9397-08002B2CF9AE}" pid="4" name="Information_x0020_Resource">
    <vt:lpwstr/>
  </property>
  <property fmtid="{D5CDD505-2E9C-101B-9397-08002B2CF9AE}" pid="5" name="MediaServiceImageTags">
    <vt:lpwstr/>
  </property>
  <property fmtid="{D5CDD505-2E9C-101B-9397-08002B2CF9AE}" pid="6" name="Information Resource">
    <vt:lpwstr/>
  </property>
  <property fmtid="{D5CDD505-2E9C-101B-9397-08002B2CF9AE}" pid="7" name="language">
    <vt:lpwstr/>
  </property>
  <property fmtid="{D5CDD505-2E9C-101B-9397-08002B2CF9AE}" pid="8" name="Classification">
    <vt:lpwstr/>
  </property>
</Properties>
</file>